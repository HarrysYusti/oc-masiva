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enerales" sheetId="1" r:id="rId5"/>
    <sheet state="visible" name="Hoja 6" sheetId="2" r:id="rId6"/>
    <sheet state="visible" name="CARGA OC" sheetId="3" r:id="rId7"/>
    <sheet state="visible" name="CONSOLIDADO OC" sheetId="4" r:id="rId8"/>
    <sheet state="visible" name="CORRECCION TIENDA" sheetId="5" r:id="rId9"/>
    <sheet state="visible" name="DCC TIENDA" sheetId="6" r:id="rId10"/>
    <sheet state="visible" name="DCC PROVEEDOR" sheetId="7" r:id="rId11"/>
    <sheet state="visible" name="proveedor-tienda" sheetId="8" r:id="rId12"/>
    <sheet state="visible" name="PROVEEDOR SERVICIO" sheetId="9" r:id="rId13"/>
    <sheet state="visible" name="Hoja 4" sheetId="10" r:id="rId14"/>
    <sheet state="visible" name="Hoja 15" sheetId="11" r:id="rId15"/>
  </sheets>
  <definedNames>
    <definedName hidden="1" localSheetId="1" name="_xlnm._FilterDatabase">'Hoja 6'!$A$1:$AT$48</definedName>
    <definedName hidden="1" localSheetId="5" name="_xlnm._FilterDatabase">'DCC TIENDA'!$A$1:$E$49</definedName>
    <definedName hidden="1" localSheetId="6" name="_xlnm._FilterDatabase">'DCC PROVEEDOR'!$A$1:$D$29</definedName>
    <definedName hidden="1" localSheetId="9" name="_xlnm._FilterDatabase">'Hoja 4'!$A$1:$Z$1000</definedName>
  </definedNames>
  <calcPr/>
</workbook>
</file>

<file path=xl/sharedStrings.xml><?xml version="1.0" encoding="utf-8"?>
<sst xmlns="http://schemas.openxmlformats.org/spreadsheetml/2006/main" count="2694" uniqueCount="665">
  <si>
    <t>Commodity</t>
  </si>
  <si>
    <t>Cuenta Contable</t>
  </si>
  <si>
    <t>Aprobador</t>
  </si>
  <si>
    <t>javiermancilla@natura.net</t>
  </si>
  <si>
    <t>antonellabontempi@natura.net</t>
  </si>
  <si>
    <t>guillermo.badilla@natura.net</t>
  </si>
  <si>
    <t>flaviamoura@natura.net</t>
  </si>
  <si>
    <t>SAFRA</t>
  </si>
  <si>
    <t>CECO</t>
  </si>
  <si>
    <t>SAP</t>
  </si>
  <si>
    <t>TIENDA</t>
  </si>
  <si>
    <t>SUPERVISOR</t>
  </si>
  <si>
    <t>ZONA</t>
  </si>
  <si>
    <t>REGIÓN</t>
  </si>
  <si>
    <t>COMUNA</t>
  </si>
  <si>
    <t>CADENA MALL</t>
  </si>
  <si>
    <t>STATUS</t>
  </si>
  <si>
    <t>GRUPO</t>
  </si>
  <si>
    <t>PEDIDO</t>
  </si>
  <si>
    <t>TIPO</t>
  </si>
  <si>
    <t>CHRONOS</t>
  </si>
  <si>
    <t>EKOS</t>
  </si>
  <si>
    <t>ERVA DOCE</t>
  </si>
  <si>
    <t>ESSENCIAL</t>
  </si>
  <si>
    <t>FOTOEQUILIBRIO</t>
  </si>
  <si>
    <t>HOMEM</t>
  </si>
  <si>
    <t>HUMOR</t>
  </si>
  <si>
    <t>ILÍA</t>
  </si>
  <si>
    <t>KAIAK</t>
  </si>
  <si>
    <t>LUMINA</t>
  </si>
  <si>
    <t>LUNA</t>
  </si>
  <si>
    <t>UNA</t>
  </si>
  <si>
    <t>TODODIA</t>
  </si>
  <si>
    <t>SEVE</t>
  </si>
  <si>
    <t>KRISKA</t>
  </si>
  <si>
    <t>FACES</t>
  </si>
  <si>
    <t>MMBB</t>
  </si>
  <si>
    <t>NATURÉ</t>
  </si>
  <si>
    <t>DIRECCIÓN</t>
  </si>
  <si>
    <t>HORARIO MALL</t>
  </si>
  <si>
    <t>EMAIL TIENDA</t>
  </si>
  <si>
    <t>JEFE</t>
  </si>
  <si>
    <t>2do</t>
  </si>
  <si>
    <t>TELEFONO TIENDA</t>
  </si>
  <si>
    <t>TELEFONO SUPERVISOR</t>
  </si>
  <si>
    <t>ID OMNI</t>
  </si>
  <si>
    <t>Codigo Tienda</t>
  </si>
  <si>
    <t>MALLA OMNI</t>
  </si>
  <si>
    <t>RETIRO EN TIENDA</t>
  </si>
  <si>
    <t>SUPER EXPRESS</t>
  </si>
  <si>
    <t>ABBIAMO</t>
  </si>
  <si>
    <t>PLAZA SUR</t>
  </si>
  <si>
    <t>MARIA ANGELICA MEDINA</t>
  </si>
  <si>
    <t>ZONA SUR</t>
  </si>
  <si>
    <t>METROPOLITANA</t>
  </si>
  <si>
    <t>SAN BERNARDO</t>
  </si>
  <si>
    <t>MALLPLAZA</t>
  </si>
  <si>
    <t>APERTURADA</t>
  </si>
  <si>
    <t>QUINCENAL</t>
  </si>
  <si>
    <t>ATHENA</t>
  </si>
  <si>
    <t>X</t>
  </si>
  <si>
    <t>AV. PDTE. JORGE ALESSANDRI RODRÍGUEZ 20040, LOCAL 1054-1056, SAN BERNARDO, REGIÓN METROPOLITANA</t>
  </si>
  <si>
    <t>LUNES A VIERNES DE 09:00 A 12:00PM</t>
  </si>
  <si>
    <t>mallplazasur@natura.net</t>
  </si>
  <si>
    <t>Beatriz Falcao</t>
  </si>
  <si>
    <t>NO TIENE</t>
  </si>
  <si>
    <t>9 26255648</t>
  </si>
  <si>
    <t>9 74895268</t>
  </si>
  <si>
    <t>ACTIVA</t>
  </si>
  <si>
    <t>INACTIVA</t>
  </si>
  <si>
    <t>PLAZA COPIAPO</t>
  </si>
  <si>
    <t>LUIS GUZMAN</t>
  </si>
  <si>
    <t>ZONA NORTE</t>
  </si>
  <si>
    <t>ATACAMA</t>
  </si>
  <si>
    <t>COPIAPO</t>
  </si>
  <si>
    <t>MAIPÚ 109, LOCAL 2188-2192, COPIAPÓ, ATACAMA</t>
  </si>
  <si>
    <t>Mallplazacopiapo@natura.net</t>
  </si>
  <si>
    <t>Camila Gallegos</t>
  </si>
  <si>
    <t xml:space="preserve">NO TIENE </t>
  </si>
  <si>
    <t>9 26255541</t>
  </si>
  <si>
    <t>9 31999099</t>
  </si>
  <si>
    <t>ARAUCO QUILICURA</t>
  </si>
  <si>
    <t>SEBASTIAN VEGAS</t>
  </si>
  <si>
    <t>ZONA CENTRO</t>
  </si>
  <si>
    <t>QUILICURA</t>
  </si>
  <si>
    <t>PARQUE ARAUCO</t>
  </si>
  <si>
    <t>AV. BERNARDO O'HIGGINS 581, LOCAL S40, 8700000 QUILICURA, REGIÓN METROPOLITANA</t>
  </si>
  <si>
    <t>LUNES A SABADO DE 08:00 A 11:00 HRS</t>
  </si>
  <si>
    <t>Araucoquilicura@natura.net</t>
  </si>
  <si>
    <t>Silvana Flores</t>
  </si>
  <si>
    <t>9 63096332</t>
  </si>
  <si>
    <t>9 33796935</t>
  </si>
  <si>
    <t>GRAN AVENIDA</t>
  </si>
  <si>
    <t>SAN MIGUEL</t>
  </si>
  <si>
    <t>ESPACIO URBANO</t>
  </si>
  <si>
    <t>GRAN AV. JOSÉ MIGUEL CARRERA 6150, LOCAL 1144, 8930520 SAN MIGUEL, REGIÓN METROPOLITANA</t>
  </si>
  <si>
    <t>LUNES A VIERNES DE 08:00 A 12:00 HRS</t>
  </si>
  <si>
    <t>Granavenida@natura.net</t>
  </si>
  <si>
    <t>Astrid Contreras</t>
  </si>
  <si>
    <t>Patricia Ugas</t>
  </si>
  <si>
    <t>9 26255560</t>
  </si>
  <si>
    <t>PASEO QUILIN</t>
  </si>
  <si>
    <t>PEÑALOLEN</t>
  </si>
  <si>
    <t>MAR TIRRENO Nº 3.349, LOCAL 2024-2026, PEÑALOLÉN, REGIÓN METROPOLITANA</t>
  </si>
  <si>
    <t>LUNES A VIERNES DE 07:00 A 12:00 HRS.</t>
  </si>
  <si>
    <t>Paseoquilin@natura.net</t>
  </si>
  <si>
    <t>Jazmin duran saez</t>
  </si>
  <si>
    <t>CASTRO</t>
  </si>
  <si>
    <t>LOS LAGOS</t>
  </si>
  <si>
    <t>PASMAR</t>
  </si>
  <si>
    <t>IGNACIO SERRANO 574, LOCAL 305 A, CASTRO, REGIÓN LOS LAGOS</t>
  </si>
  <si>
    <t/>
  </si>
  <si>
    <t>Paseochiloe@natura.net</t>
  </si>
  <si>
    <t>Gabriela Torres</t>
  </si>
  <si>
    <t>Damaris Muñoz</t>
  </si>
  <si>
    <t>9 56807241</t>
  </si>
  <si>
    <t>PUERTO MONTT</t>
  </si>
  <si>
    <t>ZONA AUSTRAL</t>
  </si>
  <si>
    <t>JUAN SOLER MANFREDINI N°131, LOCAL 105, PUERTO MONTT, REGION LOS LAGOS</t>
  </si>
  <si>
    <t>LUNES A SABADO DE 8:30 A 10:00HRS</t>
  </si>
  <si>
    <t>Mallpaseocostanera@natura.net</t>
  </si>
  <si>
    <t>Paola Leal</t>
  </si>
  <si>
    <t>9 46527653</t>
  </si>
  <si>
    <t>PUNTA ARENAS</t>
  </si>
  <si>
    <t>MAGALLANES</t>
  </si>
  <si>
    <t>AV. BULNES KM. 3,5 NORTE, LOCAL 403, PUNTA ARENAS, REGIÓN MAGALLANES</t>
  </si>
  <si>
    <t>LUNES A VIERNES 08:30 A 13:00 HRS.</t>
  </si>
  <si>
    <t>Puntaarenas@natura.net</t>
  </si>
  <si>
    <t>Jaqueline Perez</t>
  </si>
  <si>
    <t>9 26255591</t>
  </si>
  <si>
    <t>MALL PASEO ROSS</t>
  </si>
  <si>
    <t>VALPARAISO</t>
  </si>
  <si>
    <t>PASEO ROSS</t>
  </si>
  <si>
    <t>AVENIDA ARGENTINA 540, LOCAL 319-321, VALPARAISO</t>
  </si>
  <si>
    <t>LUNES A VIERNES DE 09:30  12:30 PM</t>
  </si>
  <si>
    <t>mallpaseoross@natura.net</t>
  </si>
  <si>
    <t>Francisca Munzón</t>
  </si>
  <si>
    <t>9 44257647</t>
  </si>
  <si>
    <t>COQUIMBO</t>
  </si>
  <si>
    <t>GRUPO VIVO</t>
  </si>
  <si>
    <t>AVENIDA VARELA 1524, LOCAL 2128, COQUIMBO</t>
  </si>
  <si>
    <t>LUNES A DOMINGO DE 08:00 A 09:45 HRS.</t>
  </si>
  <si>
    <t>Mallvivocoquimbo@natura.net</t>
  </si>
  <si>
    <t>Cristina Esquivel</t>
  </si>
  <si>
    <t>9 26255563</t>
  </si>
  <si>
    <t>OPEN OVALLE</t>
  </si>
  <si>
    <t>OVALLE</t>
  </si>
  <si>
    <t>OPEN PLAZA</t>
  </si>
  <si>
    <t>PROLONGACIÓN BENAVENTE N° 1075, LOCAL 1180, COMUNA Y CIUDAD DE OVALLE, REGIÓN DE COQUIMBO.</t>
  </si>
  <si>
    <t>OP.Ovalle@natura.net</t>
  </si>
  <si>
    <t>Camila Donoso</t>
  </si>
  <si>
    <t>EU PUENTE ALTO</t>
  </si>
  <si>
    <t>PUENTE ALTO</t>
  </si>
  <si>
    <t>AVENIDA CONCHA Y TORO 1149, PUENTE ALTO, CHILE</t>
  </si>
  <si>
    <t>eu.puentealto@natura.net</t>
  </si>
  <si>
    <t>Patricia López</t>
  </si>
  <si>
    <t>MELIPILLA</t>
  </si>
  <si>
    <t>SERRANO 395, LOCAL 215, MELIPILLA</t>
  </si>
  <si>
    <t>e.u.melipilla@natura.net</t>
  </si>
  <si>
    <t>Carolina Acevedo</t>
  </si>
  <si>
    <t>AEROPUERTO</t>
  </si>
  <si>
    <t>PUDAHUEL</t>
  </si>
  <si>
    <t>CONSTRUCCIÓN</t>
  </si>
  <si>
    <t>ARMANDO CORTINEZ NORTE N° 11501, LOTEO AEROPUERTO C.A.M.B., LOCAL 800-5-1-B17C, COMUNA DE PUDAHUEL</t>
  </si>
  <si>
    <t>aeropuerto@natura.net</t>
  </si>
  <si>
    <t>DOMINICOS</t>
  </si>
  <si>
    <t>LAS CONDES</t>
  </si>
  <si>
    <t>AURORA</t>
  </si>
  <si>
    <t>AV. PADRE HURTADO SUR 875, LOCAL A-2029/A-2033, LAS CONDES</t>
  </si>
  <si>
    <t>LUNES A SÁBADO DE 08:00 A 12:00HRS Y DESDE LAS 20:00 HRS EN LA NOCHE</t>
  </si>
  <si>
    <t>Dominicoscl@natura.net</t>
  </si>
  <si>
    <t>Mary Paz Oyarzun</t>
  </si>
  <si>
    <t>Azul Calquin</t>
  </si>
  <si>
    <t>9 32479793</t>
  </si>
  <si>
    <t>COSTANERA</t>
  </si>
  <si>
    <t>PROVIDENCIA</t>
  </si>
  <si>
    <t>CENCOSUD</t>
  </si>
  <si>
    <t>SEMANAL</t>
  </si>
  <si>
    <t>AV. ANDRÉS BELLO 2425, LOCAL 2188, PROVIDENCIA</t>
  </si>
  <si>
    <t>Costaneracl@natura.net</t>
  </si>
  <si>
    <t>Vivianny Perez</t>
  </si>
  <si>
    <t>Geraldine Naveda</t>
  </si>
  <si>
    <t>9 32479819</t>
  </si>
  <si>
    <t>EGAÑA</t>
  </si>
  <si>
    <t>LA REINA</t>
  </si>
  <si>
    <t>AV. LARRAIN 5862, LOCAL B-1077, LA REINA</t>
  </si>
  <si>
    <t>Plazaeganacl@natura.net</t>
  </si>
  <si>
    <t>Ely Blanco</t>
  </si>
  <si>
    <t>Aida Medina Campos</t>
  </si>
  <si>
    <t>9 32479778</t>
  </si>
  <si>
    <t>NORTE</t>
  </si>
  <si>
    <t>HUECHURABA</t>
  </si>
  <si>
    <t>AV. AMÉRICO VESPUCIO 1737, LOCAL A-1128, HUECHURABA</t>
  </si>
  <si>
    <t>LUNES A VIERNES DE 8:00 A 14:00 HRS</t>
  </si>
  <si>
    <t>Plazanortecl@natura.net</t>
  </si>
  <si>
    <t>Matias Sanhueza</t>
  </si>
  <si>
    <t>9 32479790</t>
  </si>
  <si>
    <t>VESPUCIO</t>
  </si>
  <si>
    <t>LA FLORIDA</t>
  </si>
  <si>
    <t>AV. VICUÑA MACKENNA 7110, LOCAL 117, LA FLORIDA</t>
  </si>
  <si>
    <t>LUNES A SABADO 08:00 11:00 AM</t>
  </si>
  <si>
    <t>Plazavespucio@natura.net</t>
  </si>
  <si>
    <t>Eduardo Meneses</t>
  </si>
  <si>
    <t>Macarena</t>
  </si>
  <si>
    <t>9 87808312</t>
  </si>
  <si>
    <t>AV PRESIDENTE KENNEDY 5413, LOCAL 83, LAS CONDES</t>
  </si>
  <si>
    <t>LUNES A SABADO 8:00 A 10:00 AM</t>
  </si>
  <si>
    <t>Parquearauco@natura.net</t>
  </si>
  <si>
    <t>Patricia Aguilera</t>
  </si>
  <si>
    <t>9 74777895</t>
  </si>
  <si>
    <t>ARAUCO MAIPU</t>
  </si>
  <si>
    <t>MAIPU</t>
  </si>
  <si>
    <t>AV. AMÉRICO VESPUCIO 399, LOCAL 645, MAIPÚ</t>
  </si>
  <si>
    <t>LUNES A VIERNES DE 08:00 A 12:00HRS</t>
  </si>
  <si>
    <t>Araucomaipu@natura.net</t>
  </si>
  <si>
    <t>norangela Higuera</t>
  </si>
  <si>
    <t>Gianinna quiroz</t>
  </si>
  <si>
    <t>9 87808509</t>
  </si>
  <si>
    <t>ALTO LAS CONDES</t>
  </si>
  <si>
    <t>AV. PDTE. KENNEDY LATERAL 9001, LOCAL 2027, LAS CONDES</t>
  </si>
  <si>
    <t>LUNES A VIERNES 21:00 HRS HASTA LAS 10:00 HRS</t>
  </si>
  <si>
    <t>Altolascondes@natura.net</t>
  </si>
  <si>
    <t>Rosangelica Cegarra</t>
  </si>
  <si>
    <t>Daniela De La Quintana</t>
  </si>
  <si>
    <t>9 87808529</t>
  </si>
  <si>
    <t>MARINA</t>
  </si>
  <si>
    <t>VIÑA DE MAR</t>
  </si>
  <si>
    <t>GRUPO MARINA</t>
  </si>
  <si>
    <t>AVDA. LIBERTAD 1348, LOCAL 11, VIÑA DEL MAR</t>
  </si>
  <si>
    <t>LUNES A SABADO DE 08:00 A 10:00 HRS O DE 20:30 A 21:00</t>
  </si>
  <si>
    <t>Marina@natura.net</t>
  </si>
  <si>
    <t>Pamela Carrasco</t>
  </si>
  <si>
    <t>katerin ortiz</t>
  </si>
  <si>
    <t>9 87808722</t>
  </si>
  <si>
    <t>OESTE</t>
  </si>
  <si>
    <t>CERRILLOS</t>
  </si>
  <si>
    <t>AVENIDA AMÉRICO VESPUCIO Nº 1501, LOCAL A-261/A-265, CERRILLOS</t>
  </si>
  <si>
    <t>LUNES A SABADO 10:00 A 12:00</t>
  </si>
  <si>
    <t>Plazaoeste@natura.net</t>
  </si>
  <si>
    <t>Macarena Zamudio</t>
  </si>
  <si>
    <t>9 89656621</t>
  </si>
  <si>
    <t>CONCEPCION CENTRO</t>
  </si>
  <si>
    <t>BIO BIO</t>
  </si>
  <si>
    <t>CONCEPCIÓN</t>
  </si>
  <si>
    <t>BARROS ARANA 1068, LOCAL COMERCIAL Nº43 (24-02 USO INTERNO MALL), CONCEPCIÓN, BÍO BÍO</t>
  </si>
  <si>
    <t>LUNES A SABADO DE 07:00 A 15:00 HRS</t>
  </si>
  <si>
    <t>concecentro@natura.net</t>
  </si>
  <si>
    <t>Paola Osorio Jara</t>
  </si>
  <si>
    <t>Fiorella Fajardo</t>
  </si>
  <si>
    <t>9 89656628</t>
  </si>
  <si>
    <t>TREBOL</t>
  </si>
  <si>
    <t>TALCAHUANO</t>
  </si>
  <si>
    <t>AV. JORGE ALESSANDRI 3177, LOCAL A-130-132, TALCAHUANO</t>
  </si>
  <si>
    <t>LUNES A SÁBADO DE 08:00 A 12:00HRS</t>
  </si>
  <si>
    <t>Plazatrebol@natura.net</t>
  </si>
  <si>
    <t xml:space="preserve">Josefina Solis </t>
  </si>
  <si>
    <t>Fernanda Vidal Soto</t>
  </si>
  <si>
    <t>9 89656629</t>
  </si>
  <si>
    <t>FLORIDA</t>
  </si>
  <si>
    <t>AV. VICUÑA MACKENNA OTE. 6100, LOCAL 3076, LA FLORIDA</t>
  </si>
  <si>
    <t>LUNES A VIERNES DE 08:00 A 10:00 HRS Y 20:30 A 22:00 HRS</t>
  </si>
  <si>
    <t>Florida.center@natura.net</t>
  </si>
  <si>
    <t>Nicolle Quintero</t>
  </si>
  <si>
    <t>9 89656630</t>
  </si>
  <si>
    <t>MUT</t>
  </si>
  <si>
    <t>TERRITORIA</t>
  </si>
  <si>
    <t>AV. APOQUINDO 2750, LOCAL: F308-3044, LAS CONDES, 7550000, REGIÓN METROPOLITANA</t>
  </si>
  <si>
    <t>LUNES A VIERNES DE 08:00 A 10:00 Y EN LA TARDE DESDE LAS 20:00 A 22:00</t>
  </si>
  <si>
    <t>Mercadourbano@natura.net</t>
  </si>
  <si>
    <t>9 31999120</t>
  </si>
  <si>
    <t>INDEPENDENCIA</t>
  </si>
  <si>
    <t>AVENIDA INDEPENDENCIA N° 565, TM-140A, INDEPENDENCIA, RM</t>
  </si>
  <si>
    <t>LUNES A SABADO  07:00  A 10:00 Y DE 20:00 A 21:00</t>
  </si>
  <si>
    <t>Barrioindependencia@natura.net</t>
  </si>
  <si>
    <t>Melissa Soto</t>
  </si>
  <si>
    <t xml:space="preserve">Antonia Almendras </t>
  </si>
  <si>
    <t>9 89656626</t>
  </si>
  <si>
    <t>PLAZA TOBALABA</t>
  </si>
  <si>
    <t>AV. CAMILO HENRÍQUEZ 3692, LOCAL C-273/C-277, PUENTE ALTO, REGIÓN METROPOLITANA</t>
  </si>
  <si>
    <t>LUNES  A VIERNES DE 10:00 A 12:00 HRS</t>
  </si>
  <si>
    <t>Plazatobalaba@natura.net</t>
  </si>
  <si>
    <t>Francia Farías</t>
  </si>
  <si>
    <t xml:space="preserve">Camila Maulen </t>
  </si>
  <si>
    <t>ARICA</t>
  </si>
  <si>
    <t>ARICA Y PARINACOTA</t>
  </si>
  <si>
    <t>AV. DIEGO PORTALES 640, LOCAL 1121-1125, ARICA, ARICA Y PARINACOTA</t>
  </si>
  <si>
    <t>LUNES A VIERNES  DE 9:30 A 12:00 HRS</t>
  </si>
  <si>
    <t>Mallplazaarica@natura.net</t>
  </si>
  <si>
    <t>Poulette Vargas</t>
  </si>
  <si>
    <t>Francesca Donoso</t>
  </si>
  <si>
    <t>9 26255668</t>
  </si>
  <si>
    <t>ANTOFAGASTA</t>
  </si>
  <si>
    <t>AV. BALMACEDA 2355, LOCAL 117, ANTOFAGASTA, REGION DE ANTOFAGASTA</t>
  </si>
  <si>
    <t>LUNES A SABADO 10:00 A 12:00 HRS</t>
  </si>
  <si>
    <t>MallPlazaantofagasta@natura.net</t>
  </si>
  <si>
    <t>Isabel Delgado</t>
  </si>
  <si>
    <t>9 31999116</t>
  </si>
  <si>
    <t>CALAMA</t>
  </si>
  <si>
    <t>AV. BALMACEDA 3242, LOCAL 153-157, CALAMA, REGION DE ANTOFAGASTA</t>
  </si>
  <si>
    <t>LUNES A SABADO DE 10:00 A 12:00</t>
  </si>
  <si>
    <t>mallplazacalama@natura.net</t>
  </si>
  <si>
    <t>Claudia Pizarro</t>
  </si>
  <si>
    <t>Sebastian Pasten</t>
  </si>
  <si>
    <t>9 31999101</t>
  </si>
  <si>
    <t>PUENTE</t>
  </si>
  <si>
    <t>SANTIAGO CENTRO</t>
  </si>
  <si>
    <t>TRES ASOCIADOS</t>
  </si>
  <si>
    <t>P.º PUENTE 689, LOCAL 145-147, SANTIAGO, REGION METROPOLITANA</t>
  </si>
  <si>
    <t>LUNES A SABADO DE 8 A 15:00HRS</t>
  </si>
  <si>
    <t>Mallvivocentro@natura.net</t>
  </si>
  <si>
    <t>Nataly Lopez</t>
  </si>
  <si>
    <t>Raquel Aranda</t>
  </si>
  <si>
    <t>9 31999086</t>
  </si>
  <si>
    <t>ALAMEDA</t>
  </si>
  <si>
    <t>ESTACIÓN CENTRAL</t>
  </si>
  <si>
    <t>AV. DEL LIBERTADOR BERNARDO O'HIGGINS 3470, LOCAL A-126, ESTACION CENTRAL, RM</t>
  </si>
  <si>
    <t>LUNES A SABADO DE 08:00 A 14:00 HRS</t>
  </si>
  <si>
    <t>Alameda@natura.net</t>
  </si>
  <si>
    <t>Sandra Cabrera</t>
  </si>
  <si>
    <t>Carolina Arellano</t>
  </si>
  <si>
    <t>9 31999115</t>
  </si>
  <si>
    <t>SUBCENTRO</t>
  </si>
  <si>
    <t>AV. APOQUINDO 4411, LOCAL 154-156, LAS CONDES, REGIÓN METROPOLITANA</t>
  </si>
  <si>
    <t>LUNES A SABADO  10.00 A 12.00</t>
  </si>
  <si>
    <t>Subcentro@natura.net</t>
  </si>
  <si>
    <t xml:space="preserve">Flavia Álvarez </t>
  </si>
  <si>
    <t xml:space="preserve">Camila Escobar </t>
  </si>
  <si>
    <t>9 31999080</t>
  </si>
  <si>
    <t>VALDIVIA</t>
  </si>
  <si>
    <t>LOS RIOS</t>
  </si>
  <si>
    <t>AV. RAMÓN PICARTE 422, LOCAL L105A+105B, 5090000 VALDIVIA, LOS RÍOS</t>
  </si>
  <si>
    <t>LUNES A VIERNES DE 08:00 A 09:30HRS.</t>
  </si>
  <si>
    <t>Mallpaseovaldivia@natura.net</t>
  </si>
  <si>
    <t>Jennifer G</t>
  </si>
  <si>
    <t>9 31999118</t>
  </si>
  <si>
    <t>OSORNO</t>
  </si>
  <si>
    <t>PLAZA YUNGAY, OSORNO 609, LOCAL 2067, OSORNO, LOS LAGOS</t>
  </si>
  <si>
    <t>LUNES A VIERNES DE 8 A 10 AM</t>
  </si>
  <si>
    <t>Portalosorno@natura.net</t>
  </si>
  <si>
    <t>Elizabeth Coyan</t>
  </si>
  <si>
    <t>Giselle Sandoval</t>
  </si>
  <si>
    <t>9 31999094</t>
  </si>
  <si>
    <t>MAULE</t>
  </si>
  <si>
    <t>TALCA</t>
  </si>
  <si>
    <t>PLAZA MAULE</t>
  </si>
  <si>
    <t>AV. CIRCUNVALACIÓN OTE. 1055, LOCAL 1111-1112, TALCA, MAULE</t>
  </si>
  <si>
    <t>LUNES A DOMINGO DE 08:30 A 19:30</t>
  </si>
  <si>
    <t>Mallplazamaule@natura.net</t>
  </si>
  <si>
    <t>Claudia Aguirre</t>
  </si>
  <si>
    <t>Viviana Ibañez O</t>
  </si>
  <si>
    <t>‎9 31999087</t>
  </si>
  <si>
    <t>AV.FRANCISCO BILBAO 8898, LOCAL 2022, 7571699 LAS CONDES, REGIÓN METROPOLITANA</t>
  </si>
  <si>
    <t>LUNES A SÁBADO DE 08:00 A 10:00 HRS.</t>
  </si>
  <si>
    <t>Portallareina@natura.net</t>
  </si>
  <si>
    <t>Patricia Lopez</t>
  </si>
  <si>
    <t>Veronica Leviche</t>
  </si>
  <si>
    <t>9 31999113</t>
  </si>
  <si>
    <t>SAN ANTONIO</t>
  </si>
  <si>
    <t>BARROS LUCO 105, SUCURSAL 46-68, 2663160 VALPARAÍSO, SAN ANTONIO, VALPARAÍSO</t>
  </si>
  <si>
    <t>LUNES A DOMINGO DE 08:00 A 14:00</t>
  </si>
  <si>
    <t>Araucosanantonio@natura.net</t>
  </si>
  <si>
    <t>Fabian Luna</t>
  </si>
  <si>
    <t>Ariel Pavez</t>
  </si>
  <si>
    <t>9 31999097</t>
  </si>
  <si>
    <t>CURICO</t>
  </si>
  <si>
    <t>AV. O´HIGGINS 201, LOCAL 38, CURICÓ, MAULE</t>
  </si>
  <si>
    <t>LUNES A SABADO MAÑANA DE 07:30 A 10:30, TARDE 14:00 A 16:00</t>
  </si>
  <si>
    <t>Mallcurico@natura.net</t>
  </si>
  <si>
    <t>Maria Rute</t>
  </si>
  <si>
    <t>Denisse Gutierrez</t>
  </si>
  <si>
    <t>9 44566589</t>
  </si>
  <si>
    <t>CHILLAN</t>
  </si>
  <si>
    <t>ÑUBLE</t>
  </si>
  <si>
    <t>EL ROBLE N° 770, LOCAL 21, CHILLÁN, ÑUBLE 3800846</t>
  </si>
  <si>
    <t>LUNES A SABADO MAÑANA DE 07:30 A 9:30, TARDE 20:30 A 23:00</t>
  </si>
  <si>
    <t>Araucochillan@natura.net</t>
  </si>
  <si>
    <t>Daniela Semidey</t>
  </si>
  <si>
    <t>Camila Roman</t>
  </si>
  <si>
    <t>9 26255479</t>
  </si>
  <si>
    <t>ÑUÑOA</t>
  </si>
  <si>
    <t>AV. JOSÉ PEDRO ALESSANDRI 1166, LOCAL 3036, ÑUÑOA, REGIÓN METROPOLITANA 7800002</t>
  </si>
  <si>
    <t>LUNES A SABADO, 8AM A 12PM</t>
  </si>
  <si>
    <t>Portalnunoa@natura.net</t>
  </si>
  <si>
    <t xml:space="preserve">Daniela La Quintana </t>
  </si>
  <si>
    <t>IQUIQUE</t>
  </si>
  <si>
    <t>TARAPACA</t>
  </si>
  <si>
    <t>AVENIDA HÉROES DE LA CONCEPCIÓN Nº 2555, LOCAL 123/125 , IQUIQUE, CHILE</t>
  </si>
  <si>
    <t>MallPlazaIquique@natura.net</t>
  </si>
  <si>
    <t>Valentina Latorre</t>
  </si>
  <si>
    <t>LOS ANGELES</t>
  </si>
  <si>
    <t>CALLE VALDIVIA N° 440, LOCAL 235B-236, LOS ÁNGELES, CHILE</t>
  </si>
  <si>
    <t>MP.LosAngeles@natura.net</t>
  </si>
  <si>
    <t xml:space="preserve">Annais Carreño </t>
  </si>
  <si>
    <t>LA CALERA</t>
  </si>
  <si>
    <t>AVENIDA PROLONGACIÓN JOSÉ JOAQUIN PÉREZ 12010, CALERA, VALPARAISO, CHILE.</t>
  </si>
  <si>
    <t>lacalera@natura.net</t>
  </si>
  <si>
    <t xml:space="preserve">Daniel Vergara </t>
  </si>
  <si>
    <t xml:space="preserve">  </t>
  </si>
  <si>
    <t>INGRESO</t>
  </si>
  <si>
    <t>USUARIO</t>
  </si>
  <si>
    <t>NOMBRE TIENDA</t>
  </si>
  <si>
    <t>COD SAP Proveedor</t>
  </si>
  <si>
    <t>NUMERO FACTURA</t>
  </si>
  <si>
    <t>FECHA EMISION</t>
  </si>
  <si>
    <t>DETALLE</t>
  </si>
  <si>
    <t>EXENTO</t>
  </si>
  <si>
    <t>NETO</t>
  </si>
  <si>
    <t>RUT</t>
  </si>
  <si>
    <t>NOMBRE</t>
  </si>
  <si>
    <t>FECHA VENCIMIENTO</t>
  </si>
  <si>
    <t>IVA</t>
  </si>
  <si>
    <t>TOTAL</t>
  </si>
  <si>
    <t>MES</t>
  </si>
  <si>
    <t>OC</t>
  </si>
  <si>
    <t>Plan de Pago</t>
  </si>
  <si>
    <t>Almacen SAP tienda</t>
  </si>
  <si>
    <t xml:space="preserve">REALIZADA </t>
  </si>
  <si>
    <t>harrysyusti@natura.net</t>
  </si>
  <si>
    <t>821848</t>
  </si>
  <si>
    <t>76231235-2</t>
  </si>
  <si>
    <t>Bulevar Rentas Inmobiliarias S.A.</t>
  </si>
  <si>
    <t>75246</t>
  </si>
  <si>
    <t>ARRIENDO</t>
  </si>
  <si>
    <t>50302002</t>
  </si>
  <si>
    <t>3305012006</t>
  </si>
  <si>
    <t>CL15</t>
  </si>
  <si>
    <t>4160</t>
  </si>
  <si>
    <t>Aeropuerto</t>
  </si>
  <si>
    <t>808291</t>
  </si>
  <si>
    <t>96847320-4</t>
  </si>
  <si>
    <t>MALL DEL CENTRO DE CONCEPCION?S.P.A.</t>
  </si>
  <si>
    <t>70517</t>
  </si>
  <si>
    <t>Agua y Electricidad</t>
  </si>
  <si>
    <t>4172</t>
  </si>
  <si>
    <t>nombre 1</t>
  </si>
  <si>
    <t>Sociedad Concesionaria Nuevo Pudahuel S.A.</t>
  </si>
  <si>
    <t>Arauco ChillÃ¡n SPA</t>
  </si>
  <si>
    <t>ARAUCO CHILLAN</t>
  </si>
  <si>
    <t>Arauco Chillán</t>
  </si>
  <si>
    <t>ARAUCO CORONEL</t>
  </si>
  <si>
    <t>Arauco Coronel</t>
  </si>
  <si>
    <t>Todo Arauco SpA</t>
  </si>
  <si>
    <t>ARAUCO BUENAVENTURA</t>
  </si>
  <si>
    <t>Arauco Premium Outlet Buenaventura</t>
  </si>
  <si>
    <t>Arauco Centros Comerciales Regionales SPA</t>
  </si>
  <si>
    <t>Arauco Quilicura</t>
  </si>
  <si>
    <t>Desarrollo Inmobiliarios San Antonio S.A</t>
  </si>
  <si>
    <t>Arauco San Antonio</t>
  </si>
  <si>
    <t>Cencosud_Shopping_S.A.</t>
  </si>
  <si>
    <t>ADM_C.C._CENCOSUD_SPA.</t>
  </si>
  <si>
    <t>CENCO ANGAMOS</t>
  </si>
  <si>
    <t>Cenco Angamos</t>
  </si>
  <si>
    <t>PORTAL BELLOTO</t>
  </si>
  <si>
    <t>Cenco Belloto</t>
  </si>
  <si>
    <t>Comercializadora_Costanera_Center_SPA</t>
  </si>
  <si>
    <t>COSTANERA CENTER</t>
  </si>
  <si>
    <t>Costanera Center</t>
  </si>
  <si>
    <t>Compania de Seguros ConFuturo S.A.</t>
  </si>
  <si>
    <t>EU GRAN AVENIDA</t>
  </si>
  <si>
    <t>EU Gran Avenida</t>
  </si>
  <si>
    <t>EU MELIPILLA</t>
  </si>
  <si>
    <t>EU Melipilla</t>
  </si>
  <si>
    <t>EU Puente Alto</t>
  </si>
  <si>
    <t>Mall Alto Las Condes</t>
  </si>
  <si>
    <t>Arauco Malls Chile S.A.</t>
  </si>
  <si>
    <t>Mall Arauco Maipú</t>
  </si>
  <si>
    <t>MBI SPA</t>
  </si>
  <si>
    <t>MALL BARRIO INDEPENDENCIA</t>
  </si>
  <si>
    <t>Mall Barrio Independencia</t>
  </si>
  <si>
    <t>INMOBILIARIA MALL VI?A DEL MAR?S.A.</t>
  </si>
  <si>
    <t>Mall Curico</t>
  </si>
  <si>
    <t>CONCEPCION</t>
  </si>
  <si>
    <t>Mall Del Centro Concepción</t>
  </si>
  <si>
    <t>FLORIDA CENTER</t>
  </si>
  <si>
    <t>Mall Florida Center</t>
  </si>
  <si>
    <t>MARINA ARAUCO</t>
  </si>
  <si>
    <t>Mall Marina</t>
  </si>
  <si>
    <t>Inmobiliaria Power Center Ltda. 2025</t>
  </si>
  <si>
    <t>PASEO CASTRO</t>
  </si>
  <si>
    <t>Mall Paseo Chiloé</t>
  </si>
  <si>
    <t>Mall Paseo Costanera Pto Montt</t>
  </si>
  <si>
    <t>PASEO VALDIVIA</t>
  </si>
  <si>
    <t>Mall Paseo Valdivia</t>
  </si>
  <si>
    <t>Plaza Oeste SpA</t>
  </si>
  <si>
    <t>MALL PLAZA ARICA</t>
  </si>
  <si>
    <t>Mall Plaza Arica</t>
  </si>
  <si>
    <t>MALL PLAZA COPIAPO</t>
  </si>
  <si>
    <t>Mall Plaza Copiapo</t>
  </si>
  <si>
    <t>MALL PLAZA OESTE</t>
  </si>
  <si>
    <t>Mall Plaza Oeste</t>
  </si>
  <si>
    <t>MALL PLAZA ALAMEDA</t>
  </si>
  <si>
    <t>MallPlaza Alameda</t>
  </si>
  <si>
    <t>Plaza Antofagasta S.A.</t>
  </si>
  <si>
    <t>MALL PLAZA ANTOFAGASTA</t>
  </si>
  <si>
    <t>MallPlaza Antofagasta</t>
  </si>
  <si>
    <t>Plaza del TrÃ©bol SpA</t>
  </si>
  <si>
    <t>MALL PLAZA CALAMA</t>
  </si>
  <si>
    <t>MallPlaza Calama</t>
  </si>
  <si>
    <t>MALL PLAZA EGAÑA</t>
  </si>
  <si>
    <t>Mallplaza Egaña</t>
  </si>
  <si>
    <t>INMOBILIARIA MALL LAS AMERICAS S.A.</t>
  </si>
  <si>
    <t>MALL PLAZA IQUIQUE</t>
  </si>
  <si>
    <t>Mallplaza Iquique</t>
  </si>
  <si>
    <t>MALL PLAZA LOS ANGELES</t>
  </si>
  <si>
    <t>Mallplaza Los Angeles</t>
  </si>
  <si>
    <t>MALL PLAZA LOS DOMINICOS</t>
  </si>
  <si>
    <t>Mallplaza Los Dominicos</t>
  </si>
  <si>
    <t>MALL PLAZA NORTE</t>
  </si>
  <si>
    <t>Mallplaza Norte</t>
  </si>
  <si>
    <t>MALL PLAZA SUR</t>
  </si>
  <si>
    <t>MallPlaza Sur</t>
  </si>
  <si>
    <t>MALL PLAZA TOBALABA</t>
  </si>
  <si>
    <t>MallPlaza Tobalaba</t>
  </si>
  <si>
    <t>MALL PLAZA TREBOL</t>
  </si>
  <si>
    <t>Mallplaza Trebol</t>
  </si>
  <si>
    <t>Plaza Vespucio SpA</t>
  </si>
  <si>
    <t>MALL PLAZA VESPUCIO</t>
  </si>
  <si>
    <t>Mallplaza Vespucio</t>
  </si>
  <si>
    <t>TERRITORIA APOQUINDO S.A.</t>
  </si>
  <si>
    <t>Mercado Urbano Tobalaba</t>
  </si>
  <si>
    <t>Parque Arauco S.A.</t>
  </si>
  <si>
    <t>Parque Arauco</t>
  </si>
  <si>
    <t>MALL PASEO QUILIN S.A.</t>
  </si>
  <si>
    <t>MALL PASEO QUILIN</t>
  </si>
  <si>
    <t>Paseo Quilin</t>
  </si>
  <si>
    <t>INMOBILIARIA BZ S A</t>
  </si>
  <si>
    <t>Paseo Ross</t>
  </si>
  <si>
    <t>PLAZA MAULE S.A.</t>
  </si>
  <si>
    <t>MALL PLAZA MAULE</t>
  </si>
  <si>
    <t>Plaza Maule</t>
  </si>
  <si>
    <t>PORTAL LA REINA</t>
  </si>
  <si>
    <t>Portal La Reina</t>
  </si>
  <si>
    <t>PORTAL ÑUÑOA</t>
  </si>
  <si>
    <t>Portal Ñuñoa</t>
  </si>
  <si>
    <t>PORTAL OSORNO</t>
  </si>
  <si>
    <t>Portal Osorno</t>
  </si>
  <si>
    <t>INMOBILIARIA PUENTE LIMITADA</t>
  </si>
  <si>
    <t>VIVO COQUIMBO</t>
  </si>
  <si>
    <t>Vivo Coquimbo</t>
  </si>
  <si>
    <t>INMOBILIARIA CENTROS COMERCIALES I SPA</t>
  </si>
  <si>
    <t>PASEO PUENTE</t>
  </si>
  <si>
    <t>Vivo El Centro (Puente)</t>
  </si>
  <si>
    <t>SOCIEDAD DE RENTAS INMOBILIARIAS LTDA</t>
  </si>
  <si>
    <t>PUNTA ARENAS ZONA FRANCA</t>
  </si>
  <si>
    <t>Zona Austral Punta Arenas</t>
  </si>
  <si>
    <t>Nombre correcto</t>
  </si>
  <si>
    <t>Mall</t>
  </si>
  <si>
    <t>Sigla</t>
  </si>
  <si>
    <t>AE</t>
  </si>
  <si>
    <t>ACH</t>
  </si>
  <si>
    <t>AC</t>
  </si>
  <si>
    <t>APOB</t>
  </si>
  <si>
    <t>MAQ</t>
  </si>
  <si>
    <t>ASA</t>
  </si>
  <si>
    <t>CA</t>
  </si>
  <si>
    <t>CB</t>
  </si>
  <si>
    <t>CC</t>
  </si>
  <si>
    <t>EUGA</t>
  </si>
  <si>
    <t>EUME</t>
  </si>
  <si>
    <t>EUPA</t>
  </si>
  <si>
    <t>ALC</t>
  </si>
  <si>
    <t>MAM</t>
  </si>
  <si>
    <t>MBI</t>
  </si>
  <si>
    <t>MC</t>
  </si>
  <si>
    <t>MCC</t>
  </si>
  <si>
    <t>FC</t>
  </si>
  <si>
    <t>MM</t>
  </si>
  <si>
    <t>MCH</t>
  </si>
  <si>
    <t>MPM</t>
  </si>
  <si>
    <t>MPV</t>
  </si>
  <si>
    <t>MPA</t>
  </si>
  <si>
    <t>MPC</t>
  </si>
  <si>
    <t>POE</t>
  </si>
  <si>
    <t>PAL</t>
  </si>
  <si>
    <t>PAN</t>
  </si>
  <si>
    <t>PCA</t>
  </si>
  <si>
    <t>PEG</t>
  </si>
  <si>
    <t>PIQ</t>
  </si>
  <si>
    <t>PLA</t>
  </si>
  <si>
    <t>PLD</t>
  </si>
  <si>
    <t>PNO</t>
  </si>
  <si>
    <t>MPS</t>
  </si>
  <si>
    <t>MPT</t>
  </si>
  <si>
    <t>PVE</t>
  </si>
  <si>
    <t>PAK</t>
  </si>
  <si>
    <t>MPQ</t>
  </si>
  <si>
    <t>PS</t>
  </si>
  <si>
    <t>PM</t>
  </si>
  <si>
    <t>PLR</t>
  </si>
  <si>
    <t>PÑ</t>
  </si>
  <si>
    <t>PO</t>
  </si>
  <si>
    <t>VCOQ</t>
  </si>
  <si>
    <t>VCC</t>
  </si>
  <si>
    <t>ZA</t>
  </si>
  <si>
    <t>RUT Proveedor</t>
  </si>
  <si>
    <t>78408990-8</t>
  </si>
  <si>
    <t>76939541-5</t>
  </si>
  <si>
    <t>76939551-2</t>
  </si>
  <si>
    <t>Arauco Chillan SPA</t>
  </si>
  <si>
    <t>96734110-K</t>
  </si>
  <si>
    <t>76433310-1</t>
  </si>
  <si>
    <t>76203299-6</t>
  </si>
  <si>
    <t>96571890-7</t>
  </si>
  <si>
    <t>76111950-8</t>
  </si>
  <si>
    <t>76156628-8</t>
  </si>
  <si>
    <t>76186219-7</t>
  </si>
  <si>
    <t>96824450-7</t>
  </si>
  <si>
    <t>96863570-0</t>
  </si>
  <si>
    <t>INMOBILIARIA MALL VIÑA DEL MAR S.A.</t>
  </si>
  <si>
    <t>76409851-K</t>
  </si>
  <si>
    <t>76046651-4</t>
  </si>
  <si>
    <t>76084201-k</t>
  </si>
  <si>
    <t>76368834-8</t>
  </si>
  <si>
    <t>94627000-8</t>
  </si>
  <si>
    <t>99555550-6</t>
  </si>
  <si>
    <t>96653660-8</t>
  </si>
  <si>
    <t>Plaza del Trebol SpA</t>
  </si>
  <si>
    <t>96921930-1</t>
  </si>
  <si>
    <t>96653650-0</t>
  </si>
  <si>
    <t>96538230-5</t>
  </si>
  <si>
    <t>76466068-4</t>
  </si>
  <si>
    <t>78648070-1</t>
  </si>
  <si>
    <t>76203473-5</t>
  </si>
  <si>
    <t>96671020-9</t>
  </si>
  <si>
    <t>MALL</t>
  </si>
  <si>
    <t>LLAVE</t>
  </si>
  <si>
    <t>cuenta contable</t>
  </si>
  <si>
    <t>commodity</t>
  </si>
  <si>
    <t>GASTO COMUN</t>
  </si>
  <si>
    <t>ELECTRICIDAD</t>
  </si>
  <si>
    <t>ARRIENDO VARIABLE, ELECTRICIDAD</t>
  </si>
  <si>
    <t>PUBLICIDAD</t>
  </si>
  <si>
    <t>GGCC ADM</t>
  </si>
  <si>
    <t>ARRIENDO VARIABE, ADM</t>
  </si>
  <si>
    <t>ARRIENDO BODEGA</t>
  </si>
  <si>
    <t>BODEGA OPERACIÓN, ADM</t>
  </si>
  <si>
    <t>OPERACIÓN, ADM</t>
  </si>
  <si>
    <t>ARRIENDO VARIABLE</t>
  </si>
  <si>
    <t>BODEGA ARRIENDO</t>
  </si>
  <si>
    <t>PROMOCION, ADM ELECTRICIDAD</t>
  </si>
  <si>
    <t>MULTAS E INTERES</t>
  </si>
  <si>
    <t>ASEO MTTO</t>
  </si>
  <si>
    <t>MTTO</t>
  </si>
  <si>
    <t>N°</t>
  </si>
  <si>
    <t>Supervisor</t>
  </si>
  <si>
    <t>Status</t>
  </si>
  <si>
    <t>Almacen SAP</t>
  </si>
  <si>
    <t>Fecha apertura</t>
  </si>
  <si>
    <t>Fecha vencimiento contrato</t>
  </si>
  <si>
    <t>Fecha Re apertura</t>
  </si>
  <si>
    <t>Abierta</t>
  </si>
  <si>
    <t>Open Ovalle</t>
  </si>
  <si>
    <t>OO</t>
  </si>
  <si>
    <t>Seba/DRP</t>
  </si>
  <si>
    <t>Luis/DRP</t>
  </si>
  <si>
    <t>Angie/Urrutia</t>
  </si>
  <si>
    <t>Seba/Urrutia</t>
  </si>
  <si>
    <t>Subcentro</t>
  </si>
  <si>
    <t>SC</t>
  </si>
  <si>
    <t>Open La Calera</t>
  </si>
  <si>
    <t>OLC</t>
  </si>
  <si>
    <t>TEST</t>
  </si>
  <si>
    <t>-</t>
  </si>
  <si>
    <t>prueba tienda</t>
  </si>
  <si>
    <t>8082981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</si>
</sst>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-&quot;mm&quot;-&quot;yyyy&quot; &quot;"/>
    <numFmt numFmtId="165" formatCode="dd/mm/yyyy h:mm:ss"/>
    <numFmt numFmtId="166" formatCode="dd/mm/yyyy"/>
    <numFmt numFmtId="167" formatCode="d/m/yyyy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8.0"/>
      <color rgb="FFFFFFFF"/>
      <name val="Calibri"/>
    </font>
    <font>
      <b/>
      <sz val="8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b/>
      <color theme="1"/>
      <name val="Play"/>
    </font>
    <font>
      <color theme="1"/>
      <name val="Play"/>
    </font>
  </fonts>
  <fills count="19">
    <fill>
      <patternFill patternType="none"/>
    </fill>
    <fill>
      <patternFill patternType="lightGray"/>
    </fill>
    <fill>
      <patternFill patternType="solid">
        <fgColor rgb="FFED7D31"/>
        <bgColor rgb="FFED7D31"/>
      </patternFill>
    </fill>
    <fill>
      <patternFill patternType="solid">
        <fgColor rgb="FFF7CAAC"/>
        <bgColor rgb="FFF7CAAC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0">
    <border/>
    <border>
      <left/>
      <right/>
      <top/>
      <bottom/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1" fillId="2" fontId="4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/>
    </xf>
    <xf borderId="1" fillId="3" fontId="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4" fontId="6" numFmtId="0" xfId="0" applyAlignment="1" applyFill="1" applyFont="1">
      <alignment vertical="bottom"/>
    </xf>
    <xf borderId="1" fillId="5" fontId="6" numFmtId="0" xfId="0" applyAlignment="1" applyBorder="1" applyFill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/>
    </xf>
    <xf borderId="0" fillId="6" fontId="6" numFmtId="0" xfId="0" applyAlignment="1" applyFill="1" applyFont="1">
      <alignment vertical="bottom"/>
    </xf>
    <xf borderId="1" fillId="4" fontId="6" numFmtId="0" xfId="0" applyAlignment="1" applyBorder="1" applyFont="1">
      <alignment vertical="bottom"/>
    </xf>
    <xf borderId="2" fillId="0" fontId="6" numFmtId="0" xfId="0" applyAlignment="1" applyBorder="1" applyFont="1">
      <alignment horizontal="right" vertical="bottom"/>
    </xf>
    <xf borderId="0" fillId="7" fontId="1" numFmtId="0" xfId="0" applyAlignment="1" applyFill="1" applyFont="1">
      <alignment horizontal="center" readingOrder="0" vertical="bottom"/>
    </xf>
    <xf borderId="0" fillId="5" fontId="1" numFmtId="0" xfId="0" applyAlignment="1" applyFont="1">
      <alignment horizontal="center" vertical="bottom"/>
    </xf>
    <xf borderId="0" fillId="5" fontId="7" numFmtId="0" xfId="0" applyAlignment="1" applyFont="1">
      <alignment readingOrder="0"/>
    </xf>
    <xf borderId="0" fillId="5" fontId="1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5" fontId="3" numFmtId="0" xfId="0" applyAlignment="1" applyFont="1">
      <alignment readingOrder="0"/>
    </xf>
    <xf borderId="0" fillId="7" fontId="1" numFmtId="0" xfId="0" applyAlignment="1" applyFont="1">
      <alignment horizontal="center" vertical="bottom"/>
    </xf>
    <xf borderId="0" fillId="8" fontId="1" numFmtId="0" xfId="0" applyAlignment="1" applyFill="1" applyFont="1">
      <alignment horizontal="center" vertical="bottom"/>
    </xf>
    <xf borderId="0" fillId="7" fontId="3" numFmtId="0" xfId="0" applyAlignment="1" applyFont="1">
      <alignment horizontal="center" readingOrder="0"/>
    </xf>
    <xf borderId="0" fillId="8" fontId="3" numFmtId="0" xfId="0" applyAlignment="1" applyFont="1">
      <alignment horizontal="center" readingOrder="0"/>
    </xf>
    <xf quotePrefix="1" borderId="0" fillId="0" fontId="3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5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2" numFmtId="1" xfId="0" applyAlignment="1" applyFont="1" applyNumberFormat="1">
      <alignment horizontal="right" vertical="bottom"/>
    </xf>
    <xf borderId="0" fillId="0" fontId="3" numFmtId="1" xfId="0" applyFont="1" applyNumberFormat="1"/>
    <xf borderId="0" fillId="9" fontId="7" numFmtId="0" xfId="0" applyAlignment="1" applyFill="1" applyFont="1">
      <alignment readingOrder="0"/>
    </xf>
    <xf borderId="0" fillId="10" fontId="2" numFmtId="0" xfId="0" applyAlignment="1" applyFill="1" applyFont="1">
      <alignment horizontal="right" vertical="bottom"/>
    </xf>
    <xf borderId="0" fillId="10" fontId="3" numFmtId="0" xfId="0" applyFont="1"/>
    <xf borderId="0" fillId="11" fontId="2" numFmtId="0" xfId="0" applyAlignment="1" applyFill="1" applyFont="1">
      <alignment horizontal="right" vertical="bottom"/>
    </xf>
    <xf borderId="0" fillId="11" fontId="3" numFmtId="0" xfId="0" applyFont="1"/>
    <xf borderId="0" fillId="11" fontId="6" numFmtId="0" xfId="0" applyAlignment="1" applyFont="1">
      <alignment readingOrder="0"/>
    </xf>
    <xf borderId="0" fillId="10" fontId="2" numFmtId="1" xfId="0" applyAlignment="1" applyFont="1" applyNumberFormat="1">
      <alignment horizontal="right" vertical="bottom"/>
    </xf>
    <xf borderId="0" fillId="10" fontId="6" numFmtId="0" xfId="0" applyAlignment="1" applyFont="1">
      <alignment horizontal="right"/>
    </xf>
    <xf borderId="0" fillId="11" fontId="6" numFmtId="0" xfId="0" applyAlignment="1" applyFont="1">
      <alignment horizontal="right"/>
    </xf>
    <xf borderId="0" fillId="11" fontId="2" numFmtId="1" xfId="0" applyAlignment="1" applyFont="1" applyNumberFormat="1">
      <alignment horizontal="right" vertical="bottom"/>
    </xf>
    <xf borderId="0" fillId="10" fontId="6" numFmtId="0" xfId="0" applyAlignment="1" applyFont="1">
      <alignment horizontal="right" vertical="center"/>
    </xf>
    <xf borderId="0" fillId="10" fontId="6" numFmtId="0" xfId="0" applyAlignment="1" applyFont="1">
      <alignment readingOrder="0"/>
    </xf>
    <xf borderId="0" fillId="11" fontId="6" numFmtId="0" xfId="0" applyAlignment="1" applyFont="1">
      <alignment horizontal="right" vertical="center"/>
    </xf>
    <xf borderId="0" fillId="10" fontId="3" numFmtId="1" xfId="0" applyFont="1" applyNumberFormat="1"/>
    <xf borderId="0" fillId="10" fontId="6" numFmtId="0" xfId="0" applyAlignment="1" applyFont="1">
      <alignment horizontal="right" vertical="bottom"/>
    </xf>
    <xf borderId="0" fillId="12" fontId="3" numFmtId="0" xfId="0" applyAlignment="1" applyFill="1" applyFont="1">
      <alignment readingOrder="0"/>
    </xf>
    <xf borderId="0" fillId="12" fontId="3" numFmtId="0" xfId="0" applyFont="1"/>
    <xf borderId="0" fillId="10" fontId="3" numFmtId="0" xfId="0" applyAlignment="1" applyFont="1">
      <alignment readingOrder="0"/>
    </xf>
    <xf borderId="0" fillId="13" fontId="3" numFmtId="0" xfId="0" applyFill="1" applyFont="1"/>
    <xf borderId="0" fillId="13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1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14" fontId="2" numFmtId="0" xfId="0" applyAlignment="1" applyFill="1" applyFont="1">
      <alignment horizontal="right" vertical="bottom"/>
    </xf>
    <xf borderId="0" fillId="14" fontId="2" numFmtId="0" xfId="0" applyAlignment="1" applyFont="1">
      <alignment vertical="bottom"/>
    </xf>
    <xf borderId="3" fillId="15" fontId="8" numFmtId="0" xfId="0" applyAlignment="1" applyBorder="1" applyFill="1" applyFont="1">
      <alignment horizontal="center" shrinkToFit="0" wrapText="1"/>
    </xf>
    <xf borderId="3" fillId="0" fontId="9" numFmtId="0" xfId="0" applyAlignment="1" applyBorder="1" applyFont="1">
      <alignment horizontal="center" vertical="bottom"/>
    </xf>
    <xf borderId="3" fillId="16" fontId="8" numFmtId="0" xfId="0" applyAlignment="1" applyBorder="1" applyFill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3" fillId="0" fontId="6" numFmtId="0" xfId="0" applyAlignment="1" applyBorder="1" applyFont="1">
      <alignment vertical="bottom"/>
    </xf>
    <xf borderId="3" fillId="0" fontId="6" numFmtId="0" xfId="0" applyAlignment="1" applyBorder="1" applyFont="1">
      <alignment horizontal="right" vertical="bottom"/>
    </xf>
    <xf borderId="3" fillId="0" fontId="9" numFmtId="167" xfId="0" applyAlignment="1" applyBorder="1" applyFont="1" applyNumberFormat="1">
      <alignment horizontal="center" vertical="bottom"/>
    </xf>
    <xf borderId="3" fillId="0" fontId="6" numFmtId="167" xfId="0" applyAlignment="1" applyBorder="1" applyFont="1" applyNumberFormat="1">
      <alignment vertical="bottom"/>
    </xf>
    <xf borderId="3" fillId="0" fontId="9" numFmtId="0" xfId="0" applyAlignment="1" applyBorder="1" applyFont="1">
      <alignment horizontal="center" shrinkToFit="0" wrapText="1"/>
    </xf>
    <xf borderId="3" fillId="0" fontId="8" numFmtId="17" xfId="0" applyAlignment="1" applyBorder="1" applyFont="1" applyNumberFormat="1">
      <alignment horizontal="center" vertical="bottom"/>
    </xf>
    <xf borderId="3" fillId="0" fontId="8" numFmtId="17" xfId="0" applyAlignment="1" applyBorder="1" applyFont="1" applyNumberFormat="1">
      <alignment horizontal="center"/>
    </xf>
    <xf borderId="3" fillId="16" fontId="6" numFmtId="0" xfId="0" applyAlignment="1" applyBorder="1" applyFont="1">
      <alignment vertical="bottom"/>
    </xf>
    <xf borderId="3" fillId="0" fontId="8" numFmtId="0" xfId="0" applyAlignment="1" applyBorder="1" applyFont="1">
      <alignment horizontal="center"/>
    </xf>
    <xf borderId="3" fillId="0" fontId="9" numFmtId="0" xfId="0" applyAlignment="1" applyBorder="1" applyFont="1">
      <alignment horizontal="right" vertical="bottom"/>
    </xf>
    <xf borderId="3" fillId="10" fontId="6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center"/>
    </xf>
    <xf borderId="3" fillId="0" fontId="9" numFmtId="1" xfId="0" applyAlignment="1" applyBorder="1" applyFont="1" applyNumberFormat="1">
      <alignment horizontal="center" vertical="bottom"/>
    </xf>
    <xf borderId="3" fillId="17" fontId="9" numFmtId="167" xfId="0" applyAlignment="1" applyBorder="1" applyFill="1" applyFont="1" applyNumberFormat="1">
      <alignment horizontal="center" vertical="bottom"/>
    </xf>
    <xf borderId="3" fillId="18" fontId="9" numFmtId="167" xfId="0" applyAlignment="1" applyBorder="1" applyFill="1" applyFont="1" applyNumberFormat="1">
      <alignment horizontal="center" vertical="bottom"/>
    </xf>
    <xf borderId="3" fillId="2" fontId="8" numFmtId="0" xfId="0" applyAlignment="1" applyBorder="1" applyFont="1">
      <alignment horizontal="center" vertical="bottom"/>
    </xf>
    <xf borderId="3" fillId="16" fontId="9" numFmtId="0" xfId="0" applyAlignment="1" applyBorder="1" applyFont="1">
      <alignment horizontal="center" vertical="bottom"/>
    </xf>
    <xf borderId="3" fillId="16" fontId="8" numFmtId="17" xfId="0" applyAlignment="1" applyBorder="1" applyFont="1" applyNumberFormat="1">
      <alignment horizontal="center" vertical="bottom"/>
    </xf>
    <xf borderId="3" fillId="16" fontId="9" numFmtId="1" xfId="0" applyAlignment="1" applyBorder="1" applyFont="1" applyNumberFormat="1">
      <alignment horizontal="center" vertical="bottom"/>
    </xf>
    <xf borderId="3" fillId="16" fontId="9" numFmtId="167" xfId="0" applyAlignment="1" applyBorder="1" applyFont="1" applyNumberFormat="1">
      <alignment horizontal="center" vertical="bottom"/>
    </xf>
    <xf borderId="3" fillId="16" fontId="6" numFmtId="167" xfId="0" applyAlignment="1" applyBorder="1" applyFont="1" applyNumberFormat="1">
      <alignment vertical="bottom"/>
    </xf>
    <xf borderId="4" fillId="0" fontId="9" numFmtId="0" xfId="0" applyAlignment="1" applyBorder="1" applyFont="1">
      <alignment horizontal="center" vertical="bottom"/>
    </xf>
    <xf borderId="0" fillId="16" fontId="9" numFmtId="0" xfId="0" applyAlignment="1" applyFont="1">
      <alignment horizontal="center" vertical="bottom"/>
    </xf>
    <xf borderId="5" fillId="16" fontId="8" numFmtId="0" xfId="0" applyAlignment="1" applyBorder="1" applyFont="1">
      <alignment horizontal="center" vertical="bottom"/>
    </xf>
    <xf borderId="5" fillId="16" fontId="9" numFmtId="0" xfId="0" applyAlignment="1" applyBorder="1" applyFont="1">
      <alignment horizontal="center" vertical="bottom"/>
    </xf>
    <xf borderId="5" fillId="16" fontId="8" numFmtId="17" xfId="0" applyAlignment="1" applyBorder="1" applyFont="1" applyNumberFormat="1">
      <alignment horizontal="center" vertical="bottom"/>
    </xf>
    <xf borderId="5" fillId="16" fontId="9" numFmtId="167" xfId="0" applyAlignment="1" applyBorder="1" applyFont="1" applyNumberFormat="1">
      <alignment horizontal="center" vertical="bottom"/>
    </xf>
    <xf borderId="5" fillId="18" fontId="9" numFmtId="167" xfId="0" applyAlignment="1" applyBorder="1" applyFont="1" applyNumberFormat="1">
      <alignment horizontal="center" vertical="bottom"/>
    </xf>
    <xf borderId="6" fillId="16" fontId="6" numFmtId="167" xfId="0" applyAlignment="1" applyBorder="1" applyFont="1" applyNumberFormat="1">
      <alignment vertical="bottom"/>
    </xf>
    <xf borderId="6" fillId="16" fontId="8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5" fillId="0" fontId="9" numFmtId="0" xfId="0" applyAlignment="1" applyBorder="1" applyFont="1">
      <alignment horizontal="right" vertical="bottom"/>
    </xf>
    <xf borderId="5" fillId="0" fontId="9" numFmtId="167" xfId="0" applyAlignment="1" applyBorder="1" applyFont="1" applyNumberFormat="1">
      <alignment horizontal="center" vertical="bottom"/>
    </xf>
    <xf borderId="5" fillId="0" fontId="8" numFmtId="0" xfId="0" applyAlignment="1" applyBorder="1" applyFont="1">
      <alignment vertical="bottom"/>
    </xf>
    <xf borderId="7" fillId="16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vertical="bottom"/>
    </xf>
    <xf borderId="8" fillId="16" fontId="8" numFmtId="0" xfId="0" applyAlignment="1" applyBorder="1" applyFont="1">
      <alignment horizontal="center" vertical="bottom"/>
    </xf>
    <xf borderId="9" fillId="0" fontId="6" numFmtId="0" xfId="0" applyAlignment="1" applyBorder="1" applyFont="1">
      <alignment vertical="bottom"/>
    </xf>
    <xf quotePrefix="1" borderId="0" fillId="0" fontId="2" numFmtId="0" xfId="0" applyAlignment="1" applyFont="1">
      <alignment horizontal="right" readingOrder="0" vertical="bottom"/>
    </xf>
    <xf borderId="0" fillId="14" fontId="2" numFmtId="0" xfId="0" applyAlignment="1" applyFont="1">
      <alignment horizontal="right" vertical="bottom"/>
    </xf>
    <xf borderId="0" fillId="14" fontId="2" numFmtId="164" xfId="0" applyAlignment="1" applyFont="1" applyNumberFormat="1">
      <alignment horizontal="right" vertical="bottom"/>
    </xf>
    <xf borderId="0" fillId="14" fontId="2" numFmtId="0" xfId="0" applyAlignment="1" applyFont="1">
      <alignment vertical="bottom"/>
    </xf>
    <xf borderId="0" fillId="14" fontId="2" numFmtId="3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3">
    <tableStyle count="3" pivot="0" name="CORRECCION TIENDA-style">
      <tableStyleElement dxfId="1" type="headerRow"/>
      <tableStyleElement dxfId="2" type="firstRowStripe"/>
      <tableStyleElement dxfId="3" type="secondRowStripe"/>
    </tableStyle>
    <tableStyle count="3" pivot="0" name="proveedor-tienda-style">
      <tableStyleElement dxfId="4" type="headerRow"/>
      <tableStyleElement dxfId="2" type="firstRowStripe"/>
      <tableStyleElement dxfId="5" type="secondRowStripe"/>
    </tableStyle>
    <tableStyle count="3" pivot="0" name="PROVEEDOR SERVICIO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51" displayName="Table_1" name="Table_1" id="1">
  <tableColumns count="2">
    <tableColumn name="Almacen SAP tienda" id="1"/>
    <tableColumn name="nombre 1" id="2"/>
  </tableColumns>
  <tableStyleInfo name="CORRECCION TIENDA-style" showColumnStripes="0" showFirstColumn="1" showLastColumn="1" showRowStripes="1"/>
</table>
</file>

<file path=xl/tables/table2.xml><?xml version="1.0" encoding="utf-8"?>
<table xmlns="http://schemas.openxmlformats.org/spreadsheetml/2006/main" ref="A1:B51" displayName="Table_2" name="Table_2" id="2">
  <tableColumns count="2">
    <tableColumn name="Almacen SAP tienda" id="1"/>
    <tableColumn name="COD SAP Proveedor" id="2"/>
  </tableColumns>
  <tableStyleInfo name="proveedor-tienda-style" showColumnStripes="0" showFirstColumn="1" showLastColumn="1" showRowStripes="1"/>
</table>
</file>

<file path=xl/tables/table3.xml><?xml version="1.0" encoding="utf-8"?>
<table xmlns="http://schemas.openxmlformats.org/spreadsheetml/2006/main" ref="A1:F90" displayName="Table_3" name="Table_3" id="3">
  <tableColumns count="6">
    <tableColumn name="COD SAP Proveedor" id="1"/>
    <tableColumn name="DETALLE" id="2"/>
    <tableColumn name="MALL" id="3"/>
    <tableColumn name="LLAVE" id="4"/>
    <tableColumn name="cuenta contable" id="5"/>
    <tableColumn name="commodity" id="6"/>
  </tableColumns>
  <tableStyleInfo name="PROVEEDOR SERVIC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</cols>
  <sheetData>
    <row r="1">
      <c r="A1" s="1" t="s">
        <v>0</v>
      </c>
      <c r="B1" s="2" t="s">
        <v>1</v>
      </c>
      <c r="C1" s="3" t="s">
        <v>2</v>
      </c>
    </row>
    <row r="2">
      <c r="A2" s="4">
        <v>5.0302002E7</v>
      </c>
      <c r="B2" s="4">
        <v>3.305012006E9</v>
      </c>
      <c r="C2" s="3" t="s">
        <v>3</v>
      </c>
    </row>
    <row r="3">
      <c r="C3" s="3" t="s">
        <v>4</v>
      </c>
    </row>
    <row r="4">
      <c r="C4" s="3" t="s">
        <v>5</v>
      </c>
    </row>
    <row r="5">
      <c r="C5" s="3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</v>
      </c>
      <c r="B1" s="5" t="s">
        <v>8</v>
      </c>
      <c r="C1" s="5" t="s">
        <v>9</v>
      </c>
      <c r="D1" s="5" t="s">
        <v>10</v>
      </c>
      <c r="E1" s="5" t="s">
        <v>8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6" t="s">
        <v>20</v>
      </c>
      <c r="P1" s="6" t="s">
        <v>21</v>
      </c>
      <c r="Q1" s="7" t="s">
        <v>22</v>
      </c>
      <c r="R1" s="7" t="s">
        <v>23</v>
      </c>
      <c r="S1" s="7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7" t="s">
        <v>43</v>
      </c>
      <c r="AM1" s="7" t="s">
        <v>44</v>
      </c>
      <c r="AN1" s="6" t="s">
        <v>39</v>
      </c>
      <c r="AO1" s="6" t="s">
        <v>45</v>
      </c>
      <c r="AP1" s="6" t="s">
        <v>46</v>
      </c>
      <c r="AQ1" s="6" t="s">
        <v>47</v>
      </c>
      <c r="AR1" s="6" t="s">
        <v>48</v>
      </c>
      <c r="AS1" s="6" t="s">
        <v>49</v>
      </c>
      <c r="AT1" s="6" t="s">
        <v>50</v>
      </c>
    </row>
    <row r="2">
      <c r="A2" s="8">
        <v>4.0</v>
      </c>
      <c r="B2" s="8">
        <v>4.1001095E7</v>
      </c>
      <c r="C2" s="8">
        <v>4147.0</v>
      </c>
      <c r="D2" s="9" t="s">
        <v>51</v>
      </c>
      <c r="E2" s="8" t="str">
        <f t="shared" ref="E2:E48" si="1">VLOOKUP(B2,'Maestros de Tiendas'!J:J,1,0)</f>
        <v>#REF!</v>
      </c>
      <c r="F2" s="9" t="s">
        <v>52</v>
      </c>
      <c r="G2" s="9" t="s">
        <v>53</v>
      </c>
      <c r="H2" s="9" t="s">
        <v>54</v>
      </c>
      <c r="I2" s="9" t="s">
        <v>55</v>
      </c>
      <c r="J2" s="9" t="s">
        <v>56</v>
      </c>
      <c r="K2" s="10" t="s">
        <v>57</v>
      </c>
      <c r="L2" s="8">
        <v>2.0</v>
      </c>
      <c r="M2" s="11" t="s">
        <v>58</v>
      </c>
      <c r="N2" s="9" t="s">
        <v>59</v>
      </c>
      <c r="O2" s="9" t="s">
        <v>60</v>
      </c>
      <c r="P2" s="9" t="s">
        <v>60</v>
      </c>
      <c r="Q2" s="9" t="s">
        <v>60</v>
      </c>
      <c r="R2" s="9" t="s">
        <v>60</v>
      </c>
      <c r="S2" s="9" t="s">
        <v>60</v>
      </c>
      <c r="T2" s="9" t="s">
        <v>60</v>
      </c>
      <c r="U2" s="9" t="s">
        <v>60</v>
      </c>
      <c r="V2" s="9" t="s">
        <v>60</v>
      </c>
      <c r="W2" s="9" t="s">
        <v>60</v>
      </c>
      <c r="X2" s="9" t="s">
        <v>60</v>
      </c>
      <c r="Y2" s="9" t="s">
        <v>60</v>
      </c>
      <c r="Z2" s="9" t="s">
        <v>60</v>
      </c>
      <c r="AA2" s="9" t="s">
        <v>60</v>
      </c>
      <c r="AB2" s="9" t="s">
        <v>60</v>
      </c>
      <c r="AC2" s="9" t="s">
        <v>60</v>
      </c>
      <c r="AD2" s="9" t="s">
        <v>60</v>
      </c>
      <c r="AE2" s="9" t="s">
        <v>60</v>
      </c>
      <c r="AF2" s="9" t="s">
        <v>60</v>
      </c>
      <c r="AG2" s="9" t="s">
        <v>61</v>
      </c>
      <c r="AH2" s="9" t="s">
        <v>62</v>
      </c>
      <c r="AI2" s="9" t="s">
        <v>63</v>
      </c>
      <c r="AJ2" s="9" t="s">
        <v>64</v>
      </c>
      <c r="AK2" s="9" t="s">
        <v>65</v>
      </c>
      <c r="AL2" s="9" t="s">
        <v>66</v>
      </c>
      <c r="AM2" s="9" t="s">
        <v>67</v>
      </c>
      <c r="AN2" s="9"/>
      <c r="AO2" s="12">
        <v>336.0</v>
      </c>
      <c r="AP2" s="12">
        <v>9033.0</v>
      </c>
      <c r="AQ2" s="12" t="s">
        <v>60</v>
      </c>
      <c r="AR2" s="12" t="s">
        <v>68</v>
      </c>
      <c r="AS2" s="12" t="s">
        <v>69</v>
      </c>
      <c r="AT2" s="12" t="s">
        <v>60</v>
      </c>
    </row>
    <row r="3">
      <c r="A3" s="8">
        <v>4.0</v>
      </c>
      <c r="B3" s="8">
        <v>4.1001098E7</v>
      </c>
      <c r="C3" s="8">
        <v>4148.0</v>
      </c>
      <c r="D3" s="9" t="s">
        <v>70</v>
      </c>
      <c r="E3" s="8" t="str">
        <f t="shared" si="1"/>
        <v>#REF!</v>
      </c>
      <c r="F3" s="9" t="s">
        <v>71</v>
      </c>
      <c r="G3" s="9" t="s">
        <v>72</v>
      </c>
      <c r="H3" s="9" t="s">
        <v>73</v>
      </c>
      <c r="I3" s="9" t="s">
        <v>74</v>
      </c>
      <c r="J3" s="9" t="s">
        <v>56</v>
      </c>
      <c r="K3" s="10" t="s">
        <v>57</v>
      </c>
      <c r="L3" s="8">
        <v>1.0</v>
      </c>
      <c r="M3" s="11" t="s">
        <v>58</v>
      </c>
      <c r="N3" s="9" t="s">
        <v>59</v>
      </c>
      <c r="O3" s="9" t="s">
        <v>60</v>
      </c>
      <c r="P3" s="9" t="s">
        <v>60</v>
      </c>
      <c r="Q3" s="9" t="s">
        <v>60</v>
      </c>
      <c r="R3" s="9" t="s">
        <v>60</v>
      </c>
      <c r="S3" s="9" t="s">
        <v>60</v>
      </c>
      <c r="T3" s="9" t="s">
        <v>60</v>
      </c>
      <c r="U3" s="9" t="s">
        <v>60</v>
      </c>
      <c r="V3" s="9" t="s">
        <v>60</v>
      </c>
      <c r="W3" s="9" t="s">
        <v>60</v>
      </c>
      <c r="X3" s="9" t="s">
        <v>60</v>
      </c>
      <c r="Y3" s="9" t="s">
        <v>60</v>
      </c>
      <c r="Z3" s="9" t="s">
        <v>60</v>
      </c>
      <c r="AA3" s="9" t="s">
        <v>60</v>
      </c>
      <c r="AB3" s="9" t="s">
        <v>60</v>
      </c>
      <c r="AC3" s="9" t="s">
        <v>60</v>
      </c>
      <c r="AD3" s="9" t="s">
        <v>60</v>
      </c>
      <c r="AE3" s="9" t="s">
        <v>60</v>
      </c>
      <c r="AF3" s="9" t="s">
        <v>60</v>
      </c>
      <c r="AG3" s="9" t="s">
        <v>75</v>
      </c>
      <c r="AH3" s="9" t="s">
        <v>62</v>
      </c>
      <c r="AI3" s="9" t="s">
        <v>76</v>
      </c>
      <c r="AJ3" s="9" t="s">
        <v>77</v>
      </c>
      <c r="AK3" s="9" t="s">
        <v>78</v>
      </c>
      <c r="AL3" s="9" t="s">
        <v>79</v>
      </c>
      <c r="AM3" s="9" t="s">
        <v>80</v>
      </c>
      <c r="AN3" s="9"/>
      <c r="AO3" s="12">
        <v>335.0</v>
      </c>
      <c r="AP3" s="12">
        <v>9032.0</v>
      </c>
      <c r="AQ3" s="12" t="s">
        <v>60</v>
      </c>
      <c r="AR3" s="12" t="s">
        <v>68</v>
      </c>
      <c r="AS3" s="12" t="s">
        <v>69</v>
      </c>
      <c r="AT3" s="12" t="s">
        <v>60</v>
      </c>
    </row>
    <row r="4">
      <c r="A4" s="8">
        <v>4.0</v>
      </c>
      <c r="B4" s="8">
        <v>4.1003113E7</v>
      </c>
      <c r="C4" s="8">
        <v>4149.0</v>
      </c>
      <c r="D4" s="9" t="s">
        <v>81</v>
      </c>
      <c r="E4" s="8" t="str">
        <f t="shared" si="1"/>
        <v>#REF!</v>
      </c>
      <c r="F4" s="9" t="s">
        <v>82</v>
      </c>
      <c r="G4" s="9" t="s">
        <v>83</v>
      </c>
      <c r="H4" s="9" t="s">
        <v>54</v>
      </c>
      <c r="I4" s="9" t="s">
        <v>84</v>
      </c>
      <c r="J4" s="9" t="s">
        <v>85</v>
      </c>
      <c r="K4" s="10" t="s">
        <v>57</v>
      </c>
      <c r="L4" s="8">
        <v>2.0</v>
      </c>
      <c r="M4" s="11" t="s">
        <v>58</v>
      </c>
      <c r="N4" s="9" t="s">
        <v>59</v>
      </c>
      <c r="O4" s="9" t="s">
        <v>60</v>
      </c>
      <c r="P4" s="9" t="s">
        <v>60</v>
      </c>
      <c r="Q4" s="9" t="s">
        <v>60</v>
      </c>
      <c r="R4" s="9" t="s">
        <v>60</v>
      </c>
      <c r="S4" s="9" t="s">
        <v>60</v>
      </c>
      <c r="T4" s="9" t="s">
        <v>60</v>
      </c>
      <c r="U4" s="9" t="s">
        <v>60</v>
      </c>
      <c r="V4" s="9" t="s">
        <v>60</v>
      </c>
      <c r="W4" s="9" t="s">
        <v>60</v>
      </c>
      <c r="X4" s="9" t="s">
        <v>60</v>
      </c>
      <c r="Y4" s="9" t="s">
        <v>60</v>
      </c>
      <c r="Z4" s="9" t="s">
        <v>60</v>
      </c>
      <c r="AA4" s="9" t="s">
        <v>60</v>
      </c>
      <c r="AB4" s="9" t="s">
        <v>60</v>
      </c>
      <c r="AC4" s="9" t="s">
        <v>60</v>
      </c>
      <c r="AD4" s="9" t="s">
        <v>60</v>
      </c>
      <c r="AE4" s="9" t="s">
        <v>60</v>
      </c>
      <c r="AF4" s="9" t="s">
        <v>60</v>
      </c>
      <c r="AG4" s="9" t="s">
        <v>86</v>
      </c>
      <c r="AH4" s="9" t="s">
        <v>87</v>
      </c>
      <c r="AI4" s="9" t="s">
        <v>88</v>
      </c>
      <c r="AJ4" s="9" t="s">
        <v>89</v>
      </c>
      <c r="AK4" s="9" t="s">
        <v>65</v>
      </c>
      <c r="AL4" s="9" t="s">
        <v>90</v>
      </c>
      <c r="AM4" s="9" t="s">
        <v>91</v>
      </c>
      <c r="AN4" s="9"/>
      <c r="AO4" s="12">
        <v>338.0</v>
      </c>
      <c r="AP4" s="12">
        <v>36.0</v>
      </c>
      <c r="AQ4" s="12" t="s">
        <v>60</v>
      </c>
      <c r="AR4" s="12" t="s">
        <v>68</v>
      </c>
      <c r="AS4" s="12" t="s">
        <v>69</v>
      </c>
      <c r="AT4" s="12" t="s">
        <v>60</v>
      </c>
    </row>
    <row r="5">
      <c r="A5" s="8">
        <v>4.0</v>
      </c>
      <c r="B5" s="8">
        <v>4.1003116E7</v>
      </c>
      <c r="C5" s="8">
        <v>4150.0</v>
      </c>
      <c r="D5" s="9" t="s">
        <v>92</v>
      </c>
      <c r="E5" s="8" t="str">
        <f t="shared" si="1"/>
        <v>#REF!</v>
      </c>
      <c r="F5" s="9" t="s">
        <v>82</v>
      </c>
      <c r="G5" s="9" t="s">
        <v>83</v>
      </c>
      <c r="H5" s="9" t="s">
        <v>54</v>
      </c>
      <c r="I5" s="9" t="s">
        <v>93</v>
      </c>
      <c r="J5" s="9" t="s">
        <v>94</v>
      </c>
      <c r="K5" s="10" t="s">
        <v>57</v>
      </c>
      <c r="L5" s="8">
        <v>2.0</v>
      </c>
      <c r="M5" s="11" t="s">
        <v>58</v>
      </c>
      <c r="N5" s="9" t="s">
        <v>59</v>
      </c>
      <c r="O5" s="9" t="s">
        <v>60</v>
      </c>
      <c r="P5" s="9" t="s">
        <v>60</v>
      </c>
      <c r="Q5" s="9" t="s">
        <v>60</v>
      </c>
      <c r="R5" s="9" t="s">
        <v>60</v>
      </c>
      <c r="S5" s="9" t="s">
        <v>60</v>
      </c>
      <c r="T5" s="9" t="s">
        <v>60</v>
      </c>
      <c r="U5" s="9" t="s">
        <v>60</v>
      </c>
      <c r="V5" s="9" t="s">
        <v>60</v>
      </c>
      <c r="W5" s="9" t="s">
        <v>60</v>
      </c>
      <c r="X5" s="9" t="s">
        <v>60</v>
      </c>
      <c r="Y5" s="9" t="s">
        <v>60</v>
      </c>
      <c r="Z5" s="9" t="s">
        <v>60</v>
      </c>
      <c r="AA5" s="9" t="s">
        <v>60</v>
      </c>
      <c r="AB5" s="9" t="s">
        <v>60</v>
      </c>
      <c r="AC5" s="9" t="s">
        <v>60</v>
      </c>
      <c r="AD5" s="9" t="s">
        <v>60</v>
      </c>
      <c r="AE5" s="9" t="s">
        <v>60</v>
      </c>
      <c r="AF5" s="9" t="s">
        <v>60</v>
      </c>
      <c r="AG5" s="9" t="s">
        <v>95</v>
      </c>
      <c r="AH5" s="9" t="s">
        <v>96</v>
      </c>
      <c r="AI5" s="9" t="s">
        <v>97</v>
      </c>
      <c r="AJ5" s="9" t="s">
        <v>98</v>
      </c>
      <c r="AK5" s="9" t="s">
        <v>99</v>
      </c>
      <c r="AL5" s="9" t="s">
        <v>100</v>
      </c>
      <c r="AM5" s="9" t="s">
        <v>91</v>
      </c>
      <c r="AN5" s="9"/>
      <c r="AO5" s="12">
        <v>337.0</v>
      </c>
      <c r="AP5" s="12">
        <v>34.0</v>
      </c>
      <c r="AQ5" s="12" t="s">
        <v>60</v>
      </c>
      <c r="AR5" s="12" t="s">
        <v>68</v>
      </c>
      <c r="AS5" s="12" t="s">
        <v>69</v>
      </c>
      <c r="AT5" s="12" t="s">
        <v>60</v>
      </c>
    </row>
    <row r="6">
      <c r="A6" s="8">
        <v>4.0</v>
      </c>
      <c r="B6" s="13">
        <v>4.1001152E7</v>
      </c>
      <c r="C6" s="8">
        <v>4151.0</v>
      </c>
      <c r="D6" s="9" t="s">
        <v>101</v>
      </c>
      <c r="E6" s="8" t="str">
        <f t="shared" si="1"/>
        <v>#REF!</v>
      </c>
      <c r="F6" s="9" t="s">
        <v>82</v>
      </c>
      <c r="G6" s="9" t="s">
        <v>83</v>
      </c>
      <c r="H6" s="9" t="s">
        <v>54</v>
      </c>
      <c r="I6" s="9" t="s">
        <v>102</v>
      </c>
      <c r="J6" s="9" t="s">
        <v>101</v>
      </c>
      <c r="K6" s="10" t="s">
        <v>57</v>
      </c>
      <c r="L6" s="8">
        <v>2.0</v>
      </c>
      <c r="M6" s="11" t="s">
        <v>58</v>
      </c>
      <c r="N6" s="9" t="s">
        <v>59</v>
      </c>
      <c r="O6" s="9" t="s">
        <v>60</v>
      </c>
      <c r="P6" s="9" t="s">
        <v>60</v>
      </c>
      <c r="Q6" s="9" t="s">
        <v>60</v>
      </c>
      <c r="R6" s="9" t="s">
        <v>60</v>
      </c>
      <c r="S6" s="9" t="s">
        <v>60</v>
      </c>
      <c r="T6" s="9" t="s">
        <v>60</v>
      </c>
      <c r="U6" s="9" t="s">
        <v>60</v>
      </c>
      <c r="V6" s="9" t="s">
        <v>60</v>
      </c>
      <c r="W6" s="9" t="s">
        <v>60</v>
      </c>
      <c r="X6" s="9" t="s">
        <v>60</v>
      </c>
      <c r="Y6" s="9" t="s">
        <v>60</v>
      </c>
      <c r="Z6" s="9" t="s">
        <v>60</v>
      </c>
      <c r="AA6" s="9" t="s">
        <v>60</v>
      </c>
      <c r="AB6" s="9" t="s">
        <v>60</v>
      </c>
      <c r="AC6" s="9" t="s">
        <v>60</v>
      </c>
      <c r="AD6" s="9" t="s">
        <v>60</v>
      </c>
      <c r="AE6" s="9" t="s">
        <v>60</v>
      </c>
      <c r="AF6" s="9" t="s">
        <v>60</v>
      </c>
      <c r="AG6" s="9" t="s">
        <v>103</v>
      </c>
      <c r="AH6" s="9" t="s">
        <v>104</v>
      </c>
      <c r="AI6" s="9" t="s">
        <v>105</v>
      </c>
      <c r="AJ6" s="9" t="s">
        <v>106</v>
      </c>
      <c r="AK6" s="9" t="s">
        <v>65</v>
      </c>
      <c r="AL6" s="9"/>
      <c r="AM6" s="9" t="s">
        <v>91</v>
      </c>
      <c r="AN6" s="9"/>
      <c r="AO6" s="12">
        <v>340.0</v>
      </c>
      <c r="AP6" s="12">
        <v>9038.0</v>
      </c>
      <c r="AQ6" s="12" t="s">
        <v>60</v>
      </c>
      <c r="AR6" s="12" t="s">
        <v>68</v>
      </c>
      <c r="AS6" s="12" t="s">
        <v>69</v>
      </c>
      <c r="AT6" s="12" t="s">
        <v>60</v>
      </c>
    </row>
    <row r="7">
      <c r="A7" s="8">
        <v>4.0</v>
      </c>
      <c r="B7" s="8">
        <v>4.1003117E7</v>
      </c>
      <c r="C7" s="8">
        <v>4152.0</v>
      </c>
      <c r="D7" s="9" t="s">
        <v>107</v>
      </c>
      <c r="E7" s="8" t="str">
        <f t="shared" si="1"/>
        <v>#REF!</v>
      </c>
      <c r="F7" s="9" t="s">
        <v>52</v>
      </c>
      <c r="G7" s="9" t="s">
        <v>53</v>
      </c>
      <c r="H7" s="9" t="s">
        <v>108</v>
      </c>
      <c r="I7" s="9" t="s">
        <v>107</v>
      </c>
      <c r="J7" s="9" t="s">
        <v>109</v>
      </c>
      <c r="K7" s="10" t="s">
        <v>57</v>
      </c>
      <c r="L7" s="8">
        <v>1.0</v>
      </c>
      <c r="M7" s="11" t="s">
        <v>58</v>
      </c>
      <c r="N7" s="9" t="s">
        <v>59</v>
      </c>
      <c r="O7" s="9" t="s">
        <v>60</v>
      </c>
      <c r="P7" s="9" t="s">
        <v>60</v>
      </c>
      <c r="Q7" s="9" t="s">
        <v>60</v>
      </c>
      <c r="R7" s="9" t="s">
        <v>60</v>
      </c>
      <c r="S7" s="9" t="s">
        <v>60</v>
      </c>
      <c r="T7" s="9" t="s">
        <v>60</v>
      </c>
      <c r="U7" s="9" t="s">
        <v>60</v>
      </c>
      <c r="V7" s="9" t="s">
        <v>60</v>
      </c>
      <c r="W7" s="9" t="s">
        <v>60</v>
      </c>
      <c r="X7" s="9" t="s">
        <v>60</v>
      </c>
      <c r="Y7" s="9" t="s">
        <v>60</v>
      </c>
      <c r="Z7" s="9" t="s">
        <v>60</v>
      </c>
      <c r="AA7" s="9" t="s">
        <v>60</v>
      </c>
      <c r="AB7" s="9" t="s">
        <v>60</v>
      </c>
      <c r="AC7" s="9" t="s">
        <v>60</v>
      </c>
      <c r="AD7" s="9" t="s">
        <v>60</v>
      </c>
      <c r="AE7" s="9" t="s">
        <v>60</v>
      </c>
      <c r="AF7" s="9" t="s">
        <v>60</v>
      </c>
      <c r="AG7" s="9" t="s">
        <v>110</v>
      </c>
      <c r="AH7" s="9" t="s">
        <v>111</v>
      </c>
      <c r="AI7" s="9" t="s">
        <v>112</v>
      </c>
      <c r="AJ7" s="9" t="s">
        <v>113</v>
      </c>
      <c r="AK7" s="9" t="s">
        <v>114</v>
      </c>
      <c r="AL7" s="9" t="s">
        <v>115</v>
      </c>
      <c r="AM7" s="9" t="s">
        <v>67</v>
      </c>
      <c r="AN7" s="9"/>
      <c r="AO7" s="12">
        <v>339.0</v>
      </c>
      <c r="AP7" s="12">
        <v>9037.0</v>
      </c>
      <c r="AQ7" s="12" t="s">
        <v>60</v>
      </c>
      <c r="AR7" s="12" t="s">
        <v>68</v>
      </c>
      <c r="AS7" s="12" t="s">
        <v>69</v>
      </c>
      <c r="AT7" s="12" t="s">
        <v>60</v>
      </c>
    </row>
    <row r="8">
      <c r="A8" s="8">
        <v>4.0</v>
      </c>
      <c r="B8" s="13">
        <v>4.1001156E7</v>
      </c>
      <c r="C8" s="8">
        <v>4154.0</v>
      </c>
      <c r="D8" s="9" t="s">
        <v>116</v>
      </c>
      <c r="E8" s="8" t="str">
        <f t="shared" si="1"/>
        <v>#REF!</v>
      </c>
      <c r="F8" s="9" t="s">
        <v>52</v>
      </c>
      <c r="G8" s="9" t="s">
        <v>53</v>
      </c>
      <c r="H8" s="9" t="s">
        <v>108</v>
      </c>
      <c r="I8" s="9" t="s">
        <v>116</v>
      </c>
      <c r="J8" s="9" t="s">
        <v>117</v>
      </c>
      <c r="K8" s="10" t="s">
        <v>57</v>
      </c>
      <c r="L8" s="8">
        <v>2.0</v>
      </c>
      <c r="M8" s="11" t="s">
        <v>58</v>
      </c>
      <c r="N8" s="9" t="s">
        <v>59</v>
      </c>
      <c r="O8" s="9" t="s">
        <v>60</v>
      </c>
      <c r="P8" s="9" t="s">
        <v>60</v>
      </c>
      <c r="Q8" s="9" t="s">
        <v>60</v>
      </c>
      <c r="R8" s="9" t="s">
        <v>60</v>
      </c>
      <c r="S8" s="9" t="s">
        <v>60</v>
      </c>
      <c r="T8" s="9" t="s">
        <v>60</v>
      </c>
      <c r="U8" s="9" t="s">
        <v>60</v>
      </c>
      <c r="V8" s="9" t="s">
        <v>60</v>
      </c>
      <c r="W8" s="9" t="s">
        <v>60</v>
      </c>
      <c r="X8" s="9" t="s">
        <v>60</v>
      </c>
      <c r="Y8" s="9" t="s">
        <v>60</v>
      </c>
      <c r="Z8" s="9" t="s">
        <v>60</v>
      </c>
      <c r="AA8" s="9" t="s">
        <v>60</v>
      </c>
      <c r="AB8" s="9" t="s">
        <v>60</v>
      </c>
      <c r="AC8" s="9" t="s">
        <v>60</v>
      </c>
      <c r="AD8" s="9" t="s">
        <v>60</v>
      </c>
      <c r="AE8" s="9" t="s">
        <v>60</v>
      </c>
      <c r="AF8" s="9" t="s">
        <v>60</v>
      </c>
      <c r="AG8" s="9" t="s">
        <v>118</v>
      </c>
      <c r="AH8" s="9" t="s">
        <v>119</v>
      </c>
      <c r="AI8" s="9" t="s">
        <v>120</v>
      </c>
      <c r="AJ8" s="9" t="s">
        <v>121</v>
      </c>
      <c r="AK8" s="9" t="s">
        <v>65</v>
      </c>
      <c r="AL8" s="9" t="s">
        <v>122</v>
      </c>
      <c r="AM8" s="9" t="s">
        <v>67</v>
      </c>
      <c r="AN8" s="9"/>
      <c r="AO8" s="12">
        <v>373.0</v>
      </c>
      <c r="AP8" s="12">
        <v>9041.0</v>
      </c>
      <c r="AQ8" s="12" t="s">
        <v>60</v>
      </c>
      <c r="AR8" s="12" t="s">
        <v>68</v>
      </c>
      <c r="AS8" s="12" t="s">
        <v>69</v>
      </c>
      <c r="AT8" s="12" t="s">
        <v>60</v>
      </c>
    </row>
    <row r="9">
      <c r="A9" s="8">
        <v>4.0</v>
      </c>
      <c r="B9" s="8">
        <v>4.1003118E7</v>
      </c>
      <c r="C9" s="8">
        <v>4153.0</v>
      </c>
      <c r="D9" s="9" t="s">
        <v>123</v>
      </c>
      <c r="E9" s="8" t="str">
        <f t="shared" si="1"/>
        <v>#REF!</v>
      </c>
      <c r="F9" s="9" t="s">
        <v>52</v>
      </c>
      <c r="G9" s="9" t="s">
        <v>53</v>
      </c>
      <c r="H9" s="9" t="s">
        <v>124</v>
      </c>
      <c r="I9" s="9" t="s">
        <v>123</v>
      </c>
      <c r="J9" s="9" t="s">
        <v>109</v>
      </c>
      <c r="K9" s="10" t="s">
        <v>57</v>
      </c>
      <c r="L9" s="8">
        <v>2.0</v>
      </c>
      <c r="M9" s="11" t="s">
        <v>58</v>
      </c>
      <c r="N9" s="9" t="s">
        <v>59</v>
      </c>
      <c r="O9" s="9" t="s">
        <v>60</v>
      </c>
      <c r="P9" s="9" t="s">
        <v>60</v>
      </c>
      <c r="Q9" s="9" t="s">
        <v>60</v>
      </c>
      <c r="R9" s="9" t="s">
        <v>60</v>
      </c>
      <c r="S9" s="9" t="s">
        <v>60</v>
      </c>
      <c r="T9" s="9" t="s">
        <v>60</v>
      </c>
      <c r="U9" s="9" t="s">
        <v>60</v>
      </c>
      <c r="V9" s="9" t="s">
        <v>60</v>
      </c>
      <c r="W9" s="9" t="s">
        <v>60</v>
      </c>
      <c r="X9" s="9" t="s">
        <v>60</v>
      </c>
      <c r="Y9" s="9" t="s">
        <v>60</v>
      </c>
      <c r="Z9" s="9" t="s">
        <v>60</v>
      </c>
      <c r="AA9" s="9" t="s">
        <v>60</v>
      </c>
      <c r="AB9" s="9" t="s">
        <v>60</v>
      </c>
      <c r="AC9" s="9" t="s">
        <v>60</v>
      </c>
      <c r="AD9" s="9" t="s">
        <v>60</v>
      </c>
      <c r="AE9" s="9" t="s">
        <v>60</v>
      </c>
      <c r="AF9" s="9" t="s">
        <v>60</v>
      </c>
      <c r="AG9" s="9" t="s">
        <v>125</v>
      </c>
      <c r="AH9" s="9" t="s">
        <v>126</v>
      </c>
      <c r="AI9" s="9" t="s">
        <v>127</v>
      </c>
      <c r="AJ9" s="9" t="s">
        <v>128</v>
      </c>
      <c r="AK9" s="9" t="s">
        <v>78</v>
      </c>
      <c r="AL9" s="9" t="s">
        <v>129</v>
      </c>
      <c r="AM9" s="9" t="s">
        <v>67</v>
      </c>
      <c r="AN9" s="9"/>
      <c r="AO9" s="12">
        <v>341.0</v>
      </c>
      <c r="AP9" s="12">
        <v>9039.0</v>
      </c>
      <c r="AQ9" s="12" t="s">
        <v>60</v>
      </c>
      <c r="AR9" s="12" t="s">
        <v>68</v>
      </c>
      <c r="AS9" s="12" t="s">
        <v>69</v>
      </c>
      <c r="AT9" s="12" t="s">
        <v>60</v>
      </c>
    </row>
    <row r="10">
      <c r="A10" s="8">
        <v>4.0</v>
      </c>
      <c r="B10" s="13">
        <v>4.1001161E7</v>
      </c>
      <c r="C10" s="8">
        <v>4155.0</v>
      </c>
      <c r="D10" s="9" t="s">
        <v>130</v>
      </c>
      <c r="E10" s="8" t="str">
        <f t="shared" si="1"/>
        <v>#REF!</v>
      </c>
      <c r="F10" s="9" t="s">
        <v>71</v>
      </c>
      <c r="G10" s="9" t="s">
        <v>72</v>
      </c>
      <c r="H10" s="9" t="s">
        <v>131</v>
      </c>
      <c r="I10" s="9" t="s">
        <v>131</v>
      </c>
      <c r="J10" s="9" t="s">
        <v>132</v>
      </c>
      <c r="K10" s="10" t="s">
        <v>57</v>
      </c>
      <c r="L10" s="8">
        <v>2.0</v>
      </c>
      <c r="M10" s="11" t="s">
        <v>58</v>
      </c>
      <c r="N10" s="9" t="s">
        <v>59</v>
      </c>
      <c r="O10" s="9" t="s">
        <v>60</v>
      </c>
      <c r="P10" s="9" t="s">
        <v>60</v>
      </c>
      <c r="Q10" s="9" t="s">
        <v>60</v>
      </c>
      <c r="R10" s="9" t="s">
        <v>60</v>
      </c>
      <c r="S10" s="9" t="s">
        <v>60</v>
      </c>
      <c r="T10" s="9" t="s">
        <v>60</v>
      </c>
      <c r="U10" s="9" t="s">
        <v>60</v>
      </c>
      <c r="V10" s="9" t="s">
        <v>60</v>
      </c>
      <c r="W10" s="9" t="s">
        <v>60</v>
      </c>
      <c r="X10" s="9" t="s">
        <v>60</v>
      </c>
      <c r="Y10" s="9" t="s">
        <v>60</v>
      </c>
      <c r="Z10" s="9" t="s">
        <v>60</v>
      </c>
      <c r="AA10" s="9" t="s">
        <v>60</v>
      </c>
      <c r="AB10" s="9" t="s">
        <v>60</v>
      </c>
      <c r="AC10" s="9" t="s">
        <v>60</v>
      </c>
      <c r="AD10" s="9" t="s">
        <v>60</v>
      </c>
      <c r="AE10" s="9" t="s">
        <v>60</v>
      </c>
      <c r="AF10" s="9" t="s">
        <v>60</v>
      </c>
      <c r="AG10" s="9" t="s">
        <v>133</v>
      </c>
      <c r="AH10" s="9" t="s">
        <v>134</v>
      </c>
      <c r="AI10" s="9" t="s">
        <v>135</v>
      </c>
      <c r="AJ10" s="9" t="s">
        <v>136</v>
      </c>
      <c r="AK10" s="9" t="s">
        <v>65</v>
      </c>
      <c r="AL10" s="9" t="s">
        <v>137</v>
      </c>
      <c r="AM10" s="9" t="s">
        <v>80</v>
      </c>
      <c r="AN10" s="9"/>
      <c r="AO10" s="12">
        <v>372.0</v>
      </c>
      <c r="AP10" s="12">
        <v>9040.0</v>
      </c>
      <c r="AQ10" s="12" t="s">
        <v>60</v>
      </c>
      <c r="AR10" s="12" t="s">
        <v>68</v>
      </c>
      <c r="AS10" s="12" t="s">
        <v>69</v>
      </c>
      <c r="AT10" s="12" t="s">
        <v>60</v>
      </c>
    </row>
    <row r="11">
      <c r="A11" s="8">
        <v>4.0</v>
      </c>
      <c r="B11" s="8">
        <v>4.1001164E7</v>
      </c>
      <c r="C11" s="8">
        <v>4156.0</v>
      </c>
      <c r="D11" s="9" t="s">
        <v>138</v>
      </c>
      <c r="E11" s="8" t="str">
        <f t="shared" si="1"/>
        <v>#REF!</v>
      </c>
      <c r="F11" s="9" t="s">
        <v>71</v>
      </c>
      <c r="G11" s="9" t="s">
        <v>72</v>
      </c>
      <c r="H11" s="9" t="s">
        <v>138</v>
      </c>
      <c r="I11" s="9" t="s">
        <v>138</v>
      </c>
      <c r="J11" s="9" t="s">
        <v>139</v>
      </c>
      <c r="K11" s="10" t="s">
        <v>57</v>
      </c>
      <c r="L11" s="8">
        <v>1.0</v>
      </c>
      <c r="M11" s="11" t="s">
        <v>58</v>
      </c>
      <c r="N11" s="9" t="s">
        <v>59</v>
      </c>
      <c r="O11" s="9" t="s">
        <v>60</v>
      </c>
      <c r="P11" s="9" t="s">
        <v>60</v>
      </c>
      <c r="Q11" s="9" t="s">
        <v>60</v>
      </c>
      <c r="R11" s="9" t="s">
        <v>60</v>
      </c>
      <c r="S11" s="9" t="s">
        <v>60</v>
      </c>
      <c r="T11" s="9" t="s">
        <v>60</v>
      </c>
      <c r="U11" s="9" t="s">
        <v>60</v>
      </c>
      <c r="V11" s="9" t="s">
        <v>60</v>
      </c>
      <c r="W11" s="9" t="s">
        <v>60</v>
      </c>
      <c r="X11" s="9" t="s">
        <v>60</v>
      </c>
      <c r="Y11" s="9" t="s">
        <v>60</v>
      </c>
      <c r="Z11" s="9" t="s">
        <v>60</v>
      </c>
      <c r="AA11" s="9" t="s">
        <v>60</v>
      </c>
      <c r="AB11" s="9" t="s">
        <v>60</v>
      </c>
      <c r="AC11" s="9" t="s">
        <v>60</v>
      </c>
      <c r="AD11" s="9" t="s">
        <v>60</v>
      </c>
      <c r="AE11" s="9" t="s">
        <v>60</v>
      </c>
      <c r="AF11" s="9" t="s">
        <v>60</v>
      </c>
      <c r="AG11" s="9" t="s">
        <v>140</v>
      </c>
      <c r="AH11" s="9" t="s">
        <v>141</v>
      </c>
      <c r="AI11" s="9" t="s">
        <v>142</v>
      </c>
      <c r="AJ11" s="9" t="s">
        <v>143</v>
      </c>
      <c r="AK11" s="9" t="s">
        <v>78</v>
      </c>
      <c r="AL11" s="9" t="s">
        <v>144</v>
      </c>
      <c r="AM11" s="9" t="s">
        <v>80</v>
      </c>
      <c r="AN11" s="9"/>
      <c r="AO11" s="12">
        <v>374.0</v>
      </c>
      <c r="AP11" s="12">
        <v>9042.0</v>
      </c>
      <c r="AQ11" s="12" t="s">
        <v>60</v>
      </c>
      <c r="AR11" s="12" t="s">
        <v>68</v>
      </c>
      <c r="AS11" s="12" t="s">
        <v>69</v>
      </c>
      <c r="AT11" s="12" t="s">
        <v>60</v>
      </c>
    </row>
    <row r="12">
      <c r="A12" s="8">
        <v>5.0</v>
      </c>
      <c r="B12" s="8">
        <v>4.1001176E7</v>
      </c>
      <c r="C12" s="8">
        <v>4157.0</v>
      </c>
      <c r="D12" s="9" t="s">
        <v>145</v>
      </c>
      <c r="E12" s="8" t="str">
        <f t="shared" si="1"/>
        <v>#REF!</v>
      </c>
      <c r="F12" s="9" t="s">
        <v>71</v>
      </c>
      <c r="G12" s="9" t="s">
        <v>72</v>
      </c>
      <c r="H12" s="9" t="s">
        <v>138</v>
      </c>
      <c r="I12" s="9" t="s">
        <v>146</v>
      </c>
      <c r="J12" s="9" t="s">
        <v>147</v>
      </c>
      <c r="K12" s="10" t="s">
        <v>57</v>
      </c>
      <c r="L12" s="8">
        <v>1.0</v>
      </c>
      <c r="M12" s="11" t="s">
        <v>58</v>
      </c>
      <c r="N12" s="9" t="s">
        <v>59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 t="s">
        <v>148</v>
      </c>
      <c r="AH12" s="9" t="s">
        <v>111</v>
      </c>
      <c r="AI12" s="9" t="s">
        <v>149</v>
      </c>
      <c r="AJ12" s="9" t="s">
        <v>150</v>
      </c>
      <c r="AK12" s="9"/>
      <c r="AL12" s="9"/>
      <c r="AM12" s="9" t="s">
        <v>80</v>
      </c>
      <c r="AN12" s="9"/>
      <c r="AO12" s="12">
        <v>417.0</v>
      </c>
      <c r="AP12" s="12">
        <v>9047.0</v>
      </c>
      <c r="AQ12" s="12" t="s">
        <v>60</v>
      </c>
      <c r="AR12" s="12" t="s">
        <v>69</v>
      </c>
      <c r="AS12" s="12" t="s">
        <v>69</v>
      </c>
      <c r="AT12" s="9"/>
    </row>
    <row r="13">
      <c r="A13" s="8">
        <v>5.0</v>
      </c>
      <c r="B13" s="8">
        <v>4.1001177E7</v>
      </c>
      <c r="C13" s="8">
        <v>4158.0</v>
      </c>
      <c r="D13" s="9" t="s">
        <v>151</v>
      </c>
      <c r="E13" s="8" t="str">
        <f t="shared" si="1"/>
        <v>#REF!</v>
      </c>
      <c r="F13" s="9" t="s">
        <v>82</v>
      </c>
      <c r="G13" s="9" t="s">
        <v>83</v>
      </c>
      <c r="H13" s="9" t="s">
        <v>54</v>
      </c>
      <c r="I13" s="9" t="s">
        <v>152</v>
      </c>
      <c r="J13" s="9" t="s">
        <v>94</v>
      </c>
      <c r="K13" s="10" t="s">
        <v>57</v>
      </c>
      <c r="L13" s="8">
        <v>1.0</v>
      </c>
      <c r="M13" s="11" t="s">
        <v>58</v>
      </c>
      <c r="N13" s="9" t="s">
        <v>59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 t="s">
        <v>153</v>
      </c>
      <c r="AH13" s="9" t="s">
        <v>111</v>
      </c>
      <c r="AI13" s="9" t="s">
        <v>154</v>
      </c>
      <c r="AJ13" s="9" t="s">
        <v>155</v>
      </c>
      <c r="AK13" s="9"/>
      <c r="AL13" s="9"/>
      <c r="AM13" s="9" t="s">
        <v>91</v>
      </c>
      <c r="AN13" s="9"/>
      <c r="AO13" s="12">
        <v>416.0</v>
      </c>
      <c r="AP13" s="12">
        <v>9046.0</v>
      </c>
      <c r="AQ13" s="12" t="s">
        <v>60</v>
      </c>
      <c r="AR13" s="12" t="s">
        <v>69</v>
      </c>
      <c r="AS13" s="12" t="s">
        <v>69</v>
      </c>
      <c r="AT13" s="9"/>
    </row>
    <row r="14">
      <c r="A14" s="8">
        <v>5.0</v>
      </c>
      <c r="B14" s="8">
        <v>4.1001181E7</v>
      </c>
      <c r="C14" s="8">
        <v>4159.0</v>
      </c>
      <c r="D14" s="9" t="s">
        <v>156</v>
      </c>
      <c r="E14" s="8" t="str">
        <f t="shared" si="1"/>
        <v>#REF!</v>
      </c>
      <c r="F14" s="9" t="s">
        <v>82</v>
      </c>
      <c r="G14" s="9" t="s">
        <v>83</v>
      </c>
      <c r="H14" s="9" t="s">
        <v>54</v>
      </c>
      <c r="I14" s="9" t="s">
        <v>156</v>
      </c>
      <c r="J14" s="9" t="s">
        <v>94</v>
      </c>
      <c r="K14" s="10" t="s">
        <v>57</v>
      </c>
      <c r="L14" s="9"/>
      <c r="M14" s="11" t="s">
        <v>58</v>
      </c>
      <c r="N14" s="9" t="s">
        <v>59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 t="s">
        <v>157</v>
      </c>
      <c r="AH14" s="9"/>
      <c r="AI14" s="9" t="s">
        <v>158</v>
      </c>
      <c r="AJ14" s="9" t="s">
        <v>159</v>
      </c>
      <c r="AK14" s="9"/>
      <c r="AL14" s="9"/>
      <c r="AM14" s="9" t="s">
        <v>91</v>
      </c>
      <c r="AN14" s="9"/>
      <c r="AO14" s="9"/>
      <c r="AP14" s="9"/>
      <c r="AQ14" s="9"/>
      <c r="AR14" s="9"/>
      <c r="AS14" s="9"/>
      <c r="AT14" s="9"/>
    </row>
    <row r="15">
      <c r="A15" s="8">
        <v>5.0</v>
      </c>
      <c r="B15" s="8">
        <v>4.1001163E7</v>
      </c>
      <c r="C15" s="8">
        <v>4160.0</v>
      </c>
      <c r="D15" s="9" t="s">
        <v>160</v>
      </c>
      <c r="E15" s="8" t="str">
        <f t="shared" si="1"/>
        <v>#REF!</v>
      </c>
      <c r="F15" s="9" t="s">
        <v>82</v>
      </c>
      <c r="G15" s="9" t="s">
        <v>83</v>
      </c>
      <c r="H15" s="9" t="s">
        <v>54</v>
      </c>
      <c r="I15" s="9" t="s">
        <v>161</v>
      </c>
      <c r="J15" s="9" t="s">
        <v>160</v>
      </c>
      <c r="K15" s="14" t="s">
        <v>162</v>
      </c>
      <c r="L15" s="9"/>
      <c r="M15" s="11" t="s">
        <v>58</v>
      </c>
      <c r="N15" s="9" t="s">
        <v>59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 t="s">
        <v>163</v>
      </c>
      <c r="AH15" s="9" t="s">
        <v>111</v>
      </c>
      <c r="AI15" s="9" t="s">
        <v>164</v>
      </c>
      <c r="AJ15" s="9"/>
      <c r="AK15" s="9"/>
      <c r="AL15" s="9"/>
      <c r="AM15" s="9" t="s">
        <v>91</v>
      </c>
      <c r="AN15" s="9"/>
      <c r="AO15" s="12">
        <v>375.0</v>
      </c>
      <c r="AP15" s="12">
        <v>9043.0</v>
      </c>
      <c r="AQ15" s="12" t="s">
        <v>60</v>
      </c>
      <c r="AR15" s="12" t="s">
        <v>69</v>
      </c>
      <c r="AS15" s="12" t="s">
        <v>69</v>
      </c>
      <c r="AT15" s="9"/>
    </row>
    <row r="16">
      <c r="A16" s="8">
        <v>1.0</v>
      </c>
      <c r="B16" s="8">
        <v>4.1003043E7</v>
      </c>
      <c r="C16" s="8">
        <v>4161.0</v>
      </c>
      <c r="D16" s="9" t="s">
        <v>165</v>
      </c>
      <c r="E16" s="8" t="str">
        <f t="shared" si="1"/>
        <v>#REF!</v>
      </c>
      <c r="F16" s="9" t="s">
        <v>82</v>
      </c>
      <c r="G16" s="9" t="s">
        <v>83</v>
      </c>
      <c r="H16" s="9" t="s">
        <v>54</v>
      </c>
      <c r="I16" s="9" t="s">
        <v>166</v>
      </c>
      <c r="J16" s="9" t="s">
        <v>56</v>
      </c>
      <c r="K16" s="10" t="s">
        <v>57</v>
      </c>
      <c r="L16" s="8">
        <v>1.0</v>
      </c>
      <c r="M16" s="11" t="s">
        <v>58</v>
      </c>
      <c r="N16" s="9" t="s">
        <v>167</v>
      </c>
      <c r="O16" s="12" t="s">
        <v>60</v>
      </c>
      <c r="P16" s="12" t="s">
        <v>60</v>
      </c>
      <c r="Q16" s="12" t="s">
        <v>60</v>
      </c>
      <c r="R16" s="12" t="s">
        <v>60</v>
      </c>
      <c r="S16" s="12" t="s">
        <v>60</v>
      </c>
      <c r="T16" s="12" t="s">
        <v>60</v>
      </c>
      <c r="U16" s="12" t="s">
        <v>60</v>
      </c>
      <c r="V16" s="12" t="s">
        <v>60</v>
      </c>
      <c r="W16" s="12" t="s">
        <v>60</v>
      </c>
      <c r="X16" s="12" t="s">
        <v>60</v>
      </c>
      <c r="Y16" s="12" t="s">
        <v>60</v>
      </c>
      <c r="Z16" s="12" t="s">
        <v>60</v>
      </c>
      <c r="AA16" s="12" t="s">
        <v>60</v>
      </c>
      <c r="AB16" s="12" t="s">
        <v>60</v>
      </c>
      <c r="AC16" s="12" t="s">
        <v>60</v>
      </c>
      <c r="AD16" s="9"/>
      <c r="AE16" s="12" t="s">
        <v>60</v>
      </c>
      <c r="AF16" s="9"/>
      <c r="AG16" s="9" t="s">
        <v>168</v>
      </c>
      <c r="AH16" s="9" t="s">
        <v>169</v>
      </c>
      <c r="AI16" s="9" t="s">
        <v>170</v>
      </c>
      <c r="AJ16" s="9" t="s">
        <v>171</v>
      </c>
      <c r="AK16" s="12" t="s">
        <v>172</v>
      </c>
      <c r="AL16" s="9" t="s">
        <v>173</v>
      </c>
      <c r="AM16" s="9" t="s">
        <v>91</v>
      </c>
      <c r="AN16" s="9"/>
      <c r="AO16" s="12">
        <v>115.0</v>
      </c>
      <c r="AP16" s="12">
        <v>901.0</v>
      </c>
      <c r="AQ16" s="12" t="s">
        <v>60</v>
      </c>
      <c r="AR16" s="12" t="s">
        <v>68</v>
      </c>
      <c r="AS16" s="12" t="s">
        <v>69</v>
      </c>
      <c r="AT16" s="12" t="s">
        <v>60</v>
      </c>
    </row>
    <row r="17">
      <c r="A17" s="8">
        <v>1.0</v>
      </c>
      <c r="B17" s="8">
        <v>4.1003042E7</v>
      </c>
      <c r="C17" s="8">
        <v>4162.0</v>
      </c>
      <c r="D17" s="9" t="s">
        <v>174</v>
      </c>
      <c r="E17" s="8" t="str">
        <f t="shared" si="1"/>
        <v>#REF!</v>
      </c>
      <c r="F17" s="9" t="s">
        <v>82</v>
      </c>
      <c r="G17" s="9" t="s">
        <v>83</v>
      </c>
      <c r="H17" s="9" t="s">
        <v>54</v>
      </c>
      <c r="I17" s="9" t="s">
        <v>175</v>
      </c>
      <c r="J17" s="9" t="s">
        <v>176</v>
      </c>
      <c r="K17" s="10" t="s">
        <v>57</v>
      </c>
      <c r="L17" s="8">
        <v>0.0</v>
      </c>
      <c r="M17" s="15" t="s">
        <v>177</v>
      </c>
      <c r="N17" s="9" t="s">
        <v>167</v>
      </c>
      <c r="O17" s="12" t="s">
        <v>60</v>
      </c>
      <c r="P17" s="12" t="s">
        <v>60</v>
      </c>
      <c r="Q17" s="12" t="s">
        <v>60</v>
      </c>
      <c r="R17" s="12" t="s">
        <v>60</v>
      </c>
      <c r="S17" s="12" t="s">
        <v>60</v>
      </c>
      <c r="T17" s="12" t="s">
        <v>60</v>
      </c>
      <c r="U17" s="12" t="s">
        <v>60</v>
      </c>
      <c r="V17" s="12" t="s">
        <v>60</v>
      </c>
      <c r="W17" s="12" t="s">
        <v>60</v>
      </c>
      <c r="X17" s="12" t="s">
        <v>60</v>
      </c>
      <c r="Y17" s="12" t="s">
        <v>60</v>
      </c>
      <c r="Z17" s="12" t="s">
        <v>60</v>
      </c>
      <c r="AA17" s="12" t="s">
        <v>60</v>
      </c>
      <c r="AB17" s="12" t="s">
        <v>60</v>
      </c>
      <c r="AC17" s="12" t="s">
        <v>60</v>
      </c>
      <c r="AD17" s="9"/>
      <c r="AE17" s="12" t="s">
        <v>60</v>
      </c>
      <c r="AF17" s="9"/>
      <c r="AG17" s="9" t="s">
        <v>178</v>
      </c>
      <c r="AH17" s="9" t="s">
        <v>62</v>
      </c>
      <c r="AI17" s="9" t="s">
        <v>179</v>
      </c>
      <c r="AJ17" s="9" t="s">
        <v>180</v>
      </c>
      <c r="AK17" s="12" t="s">
        <v>181</v>
      </c>
      <c r="AL17" s="9" t="s">
        <v>182</v>
      </c>
      <c r="AM17" s="9" t="s">
        <v>91</v>
      </c>
      <c r="AN17" s="9"/>
      <c r="AO17" s="12">
        <v>106.0</v>
      </c>
      <c r="AP17" s="12">
        <v>91001.0</v>
      </c>
      <c r="AQ17" s="12" t="s">
        <v>60</v>
      </c>
      <c r="AR17" s="12" t="s">
        <v>68</v>
      </c>
      <c r="AS17" s="12" t="s">
        <v>69</v>
      </c>
      <c r="AT17" s="12" t="s">
        <v>60</v>
      </c>
    </row>
    <row r="18">
      <c r="A18" s="8">
        <v>1.0</v>
      </c>
      <c r="B18" s="8">
        <v>4.1003008E7</v>
      </c>
      <c r="C18" s="8">
        <v>4163.0</v>
      </c>
      <c r="D18" s="9" t="s">
        <v>183</v>
      </c>
      <c r="E18" s="8" t="str">
        <f t="shared" si="1"/>
        <v>#REF!</v>
      </c>
      <c r="F18" s="9" t="s">
        <v>71</v>
      </c>
      <c r="G18" s="9" t="s">
        <v>72</v>
      </c>
      <c r="H18" s="9" t="s">
        <v>54</v>
      </c>
      <c r="I18" s="9" t="s">
        <v>184</v>
      </c>
      <c r="J18" s="9" t="s">
        <v>56</v>
      </c>
      <c r="K18" s="10" t="s">
        <v>57</v>
      </c>
      <c r="L18" s="8">
        <v>1.0</v>
      </c>
      <c r="M18" s="11" t="s">
        <v>58</v>
      </c>
      <c r="N18" s="9" t="s">
        <v>167</v>
      </c>
      <c r="O18" s="12" t="s">
        <v>60</v>
      </c>
      <c r="P18" s="12" t="s">
        <v>60</v>
      </c>
      <c r="Q18" s="12" t="s">
        <v>60</v>
      </c>
      <c r="R18" s="12" t="s">
        <v>60</v>
      </c>
      <c r="S18" s="12" t="s">
        <v>60</v>
      </c>
      <c r="T18" s="12" t="s">
        <v>60</v>
      </c>
      <c r="U18" s="12" t="s">
        <v>60</v>
      </c>
      <c r="V18" s="12" t="s">
        <v>60</v>
      </c>
      <c r="W18" s="12" t="s">
        <v>60</v>
      </c>
      <c r="X18" s="12" t="s">
        <v>60</v>
      </c>
      <c r="Y18" s="12" t="s">
        <v>60</v>
      </c>
      <c r="Z18" s="12" t="s">
        <v>60</v>
      </c>
      <c r="AA18" s="12" t="s">
        <v>60</v>
      </c>
      <c r="AB18" s="12" t="s">
        <v>60</v>
      </c>
      <c r="AC18" s="12" t="s">
        <v>60</v>
      </c>
      <c r="AD18" s="9"/>
      <c r="AE18" s="12" t="s">
        <v>60</v>
      </c>
      <c r="AF18" s="9"/>
      <c r="AG18" s="9" t="s">
        <v>185</v>
      </c>
      <c r="AH18" s="9" t="s">
        <v>62</v>
      </c>
      <c r="AI18" s="9" t="s">
        <v>186</v>
      </c>
      <c r="AJ18" s="9" t="s">
        <v>187</v>
      </c>
      <c r="AK18" s="12" t="s">
        <v>188</v>
      </c>
      <c r="AL18" s="9" t="s">
        <v>189</v>
      </c>
      <c r="AM18" s="9" t="s">
        <v>80</v>
      </c>
      <c r="AN18" s="9"/>
      <c r="AO18" s="12">
        <v>98.0</v>
      </c>
      <c r="AP18" s="12">
        <v>9100002.0</v>
      </c>
      <c r="AQ18" s="12" t="s">
        <v>60</v>
      </c>
      <c r="AR18" s="12" t="s">
        <v>68</v>
      </c>
      <c r="AS18" s="12" t="s">
        <v>69</v>
      </c>
      <c r="AT18" s="12" t="s">
        <v>60</v>
      </c>
    </row>
    <row r="19">
      <c r="A19" s="8">
        <v>1.0</v>
      </c>
      <c r="B19" s="8">
        <v>4.1003009E7</v>
      </c>
      <c r="C19" s="8">
        <v>4164.0</v>
      </c>
      <c r="D19" s="9" t="s">
        <v>190</v>
      </c>
      <c r="E19" s="8" t="str">
        <f t="shared" si="1"/>
        <v>#REF!</v>
      </c>
      <c r="F19" s="9" t="s">
        <v>52</v>
      </c>
      <c r="G19" s="9" t="s">
        <v>53</v>
      </c>
      <c r="H19" s="9" t="s">
        <v>54</v>
      </c>
      <c r="I19" s="9" t="s">
        <v>191</v>
      </c>
      <c r="J19" s="9" t="s">
        <v>56</v>
      </c>
      <c r="K19" s="10" t="s">
        <v>57</v>
      </c>
      <c r="L19" s="8">
        <v>2.0</v>
      </c>
      <c r="M19" s="11" t="s">
        <v>58</v>
      </c>
      <c r="N19" s="9" t="s">
        <v>59</v>
      </c>
      <c r="O19" s="12" t="s">
        <v>60</v>
      </c>
      <c r="P19" s="12" t="s">
        <v>60</v>
      </c>
      <c r="Q19" s="12" t="s">
        <v>60</v>
      </c>
      <c r="R19" s="12" t="s">
        <v>60</v>
      </c>
      <c r="S19" s="12" t="s">
        <v>60</v>
      </c>
      <c r="T19" s="12" t="s">
        <v>60</v>
      </c>
      <c r="U19" s="12" t="s">
        <v>60</v>
      </c>
      <c r="V19" s="12" t="s">
        <v>60</v>
      </c>
      <c r="W19" s="12" t="s">
        <v>60</v>
      </c>
      <c r="X19" s="12" t="s">
        <v>60</v>
      </c>
      <c r="Y19" s="12" t="s">
        <v>60</v>
      </c>
      <c r="Z19" s="12" t="s">
        <v>60</v>
      </c>
      <c r="AA19" s="12" t="s">
        <v>60</v>
      </c>
      <c r="AB19" s="12" t="s">
        <v>60</v>
      </c>
      <c r="AC19" s="12" t="s">
        <v>60</v>
      </c>
      <c r="AD19" s="12" t="s">
        <v>60</v>
      </c>
      <c r="AE19" s="12" t="s">
        <v>60</v>
      </c>
      <c r="AF19" s="12" t="s">
        <v>60</v>
      </c>
      <c r="AG19" s="9" t="s">
        <v>192</v>
      </c>
      <c r="AH19" s="9" t="s">
        <v>193</v>
      </c>
      <c r="AI19" s="9" t="s">
        <v>194</v>
      </c>
      <c r="AJ19" s="9" t="s">
        <v>195</v>
      </c>
      <c r="AK19" s="12" t="s">
        <v>65</v>
      </c>
      <c r="AL19" s="9" t="s">
        <v>196</v>
      </c>
      <c r="AM19" s="9" t="s">
        <v>67</v>
      </c>
      <c r="AN19" s="9"/>
      <c r="AO19" s="12">
        <v>103.0</v>
      </c>
      <c r="AP19" s="12">
        <v>9123.0</v>
      </c>
      <c r="AQ19" s="12" t="s">
        <v>60</v>
      </c>
      <c r="AR19" s="12" t="s">
        <v>68</v>
      </c>
      <c r="AS19" s="12" t="s">
        <v>69</v>
      </c>
      <c r="AT19" s="12" t="s">
        <v>60</v>
      </c>
    </row>
    <row r="20">
      <c r="A20" s="8">
        <v>2.0</v>
      </c>
      <c r="B20" s="8">
        <v>4.100301E7</v>
      </c>
      <c r="C20" s="8">
        <v>4165.0</v>
      </c>
      <c r="D20" s="9" t="s">
        <v>197</v>
      </c>
      <c r="E20" s="8" t="str">
        <f t="shared" si="1"/>
        <v>#REF!</v>
      </c>
      <c r="F20" s="9" t="s">
        <v>82</v>
      </c>
      <c r="G20" s="9" t="s">
        <v>83</v>
      </c>
      <c r="H20" s="9" t="s">
        <v>54</v>
      </c>
      <c r="I20" s="9" t="s">
        <v>198</v>
      </c>
      <c r="J20" s="9" t="s">
        <v>56</v>
      </c>
      <c r="K20" s="10" t="s">
        <v>57</v>
      </c>
      <c r="L20" s="8">
        <v>0.0</v>
      </c>
      <c r="M20" s="15" t="s">
        <v>177</v>
      </c>
      <c r="N20" s="9" t="s">
        <v>59</v>
      </c>
      <c r="O20" s="12" t="s">
        <v>60</v>
      </c>
      <c r="P20" s="12" t="s">
        <v>60</v>
      </c>
      <c r="Q20" s="12" t="s">
        <v>60</v>
      </c>
      <c r="R20" s="12" t="s">
        <v>60</v>
      </c>
      <c r="S20" s="12" t="s">
        <v>60</v>
      </c>
      <c r="T20" s="12" t="s">
        <v>60</v>
      </c>
      <c r="U20" s="12" t="s">
        <v>60</v>
      </c>
      <c r="V20" s="12" t="s">
        <v>60</v>
      </c>
      <c r="W20" s="12" t="s">
        <v>60</v>
      </c>
      <c r="X20" s="12" t="s">
        <v>60</v>
      </c>
      <c r="Y20" s="12" t="s">
        <v>60</v>
      </c>
      <c r="Z20" s="12" t="s">
        <v>60</v>
      </c>
      <c r="AA20" s="12" t="s">
        <v>60</v>
      </c>
      <c r="AB20" s="12" t="s">
        <v>60</v>
      </c>
      <c r="AC20" s="12" t="s">
        <v>60</v>
      </c>
      <c r="AD20" s="12" t="s">
        <v>60</v>
      </c>
      <c r="AE20" s="12" t="s">
        <v>60</v>
      </c>
      <c r="AF20" s="12" t="s">
        <v>60</v>
      </c>
      <c r="AG20" s="9" t="s">
        <v>199</v>
      </c>
      <c r="AH20" s="9" t="s">
        <v>200</v>
      </c>
      <c r="AI20" s="9" t="s">
        <v>201</v>
      </c>
      <c r="AJ20" s="9" t="s">
        <v>202</v>
      </c>
      <c r="AK20" s="12" t="s">
        <v>203</v>
      </c>
      <c r="AL20" s="9" t="s">
        <v>204</v>
      </c>
      <c r="AM20" s="9" t="s">
        <v>91</v>
      </c>
      <c r="AN20" s="9"/>
      <c r="AO20" s="12">
        <v>105.0</v>
      </c>
      <c r="AP20" s="12">
        <v>912345.0</v>
      </c>
      <c r="AQ20" s="12" t="s">
        <v>60</v>
      </c>
      <c r="AR20" s="12" t="s">
        <v>68</v>
      </c>
      <c r="AS20" s="12" t="s">
        <v>69</v>
      </c>
      <c r="AT20" s="12" t="s">
        <v>60</v>
      </c>
    </row>
    <row r="21">
      <c r="A21" s="8">
        <v>1.0</v>
      </c>
      <c r="B21" s="8">
        <v>4.1003011E7</v>
      </c>
      <c r="C21" s="8">
        <v>4166.0</v>
      </c>
      <c r="D21" s="9" t="s">
        <v>85</v>
      </c>
      <c r="E21" s="8" t="str">
        <f t="shared" si="1"/>
        <v>#REF!</v>
      </c>
      <c r="F21" s="9" t="s">
        <v>71</v>
      </c>
      <c r="G21" s="9" t="s">
        <v>72</v>
      </c>
      <c r="H21" s="9" t="s">
        <v>54</v>
      </c>
      <c r="I21" s="9" t="s">
        <v>166</v>
      </c>
      <c r="J21" s="9" t="s">
        <v>85</v>
      </c>
      <c r="K21" s="10" t="s">
        <v>57</v>
      </c>
      <c r="L21" s="8">
        <v>1.0</v>
      </c>
      <c r="M21" s="11" t="s">
        <v>58</v>
      </c>
      <c r="N21" s="9" t="s">
        <v>167</v>
      </c>
      <c r="O21" s="9" t="s">
        <v>60</v>
      </c>
      <c r="P21" s="9" t="s">
        <v>60</v>
      </c>
      <c r="Q21" s="9" t="s">
        <v>60</v>
      </c>
      <c r="R21" s="9" t="s">
        <v>60</v>
      </c>
      <c r="S21" s="9" t="s">
        <v>60</v>
      </c>
      <c r="T21" s="9" t="s">
        <v>60</v>
      </c>
      <c r="U21" s="9" t="s">
        <v>60</v>
      </c>
      <c r="V21" s="9" t="s">
        <v>60</v>
      </c>
      <c r="W21" s="9" t="s">
        <v>60</v>
      </c>
      <c r="X21" s="9" t="s">
        <v>60</v>
      </c>
      <c r="Y21" s="9" t="s">
        <v>60</v>
      </c>
      <c r="Z21" s="9" t="s">
        <v>60</v>
      </c>
      <c r="AA21" s="9" t="s">
        <v>60</v>
      </c>
      <c r="AB21" s="9" t="s">
        <v>60</v>
      </c>
      <c r="AC21" s="9" t="s">
        <v>60</v>
      </c>
      <c r="AD21" s="9"/>
      <c r="AE21" s="9" t="s">
        <v>60</v>
      </c>
      <c r="AF21" s="9"/>
      <c r="AG21" s="9" t="s">
        <v>205</v>
      </c>
      <c r="AH21" s="9" t="s">
        <v>206</v>
      </c>
      <c r="AI21" s="9" t="s">
        <v>207</v>
      </c>
      <c r="AJ21" s="9" t="s">
        <v>208</v>
      </c>
      <c r="AK21" s="9" t="s">
        <v>65</v>
      </c>
      <c r="AL21" s="9" t="s">
        <v>209</v>
      </c>
      <c r="AM21" s="9" t="s">
        <v>80</v>
      </c>
      <c r="AN21" s="9"/>
      <c r="AO21" s="12">
        <v>160.0</v>
      </c>
      <c r="AP21" s="12">
        <v>9025.0</v>
      </c>
      <c r="AQ21" s="12" t="s">
        <v>60</v>
      </c>
      <c r="AR21" s="12" t="s">
        <v>68</v>
      </c>
      <c r="AS21" s="12" t="s">
        <v>69</v>
      </c>
      <c r="AT21" s="12" t="s">
        <v>60</v>
      </c>
    </row>
    <row r="22">
      <c r="A22" s="8">
        <v>1.0</v>
      </c>
      <c r="B22" s="8">
        <v>4.1003016E7</v>
      </c>
      <c r="C22" s="8">
        <v>4168.0</v>
      </c>
      <c r="D22" s="9" t="s">
        <v>210</v>
      </c>
      <c r="E22" s="8" t="str">
        <f t="shared" si="1"/>
        <v>#REF!</v>
      </c>
      <c r="F22" s="9" t="s">
        <v>71</v>
      </c>
      <c r="G22" s="9" t="s">
        <v>72</v>
      </c>
      <c r="H22" s="9" t="s">
        <v>54</v>
      </c>
      <c r="I22" s="9" t="s">
        <v>211</v>
      </c>
      <c r="J22" s="9" t="s">
        <v>85</v>
      </c>
      <c r="K22" s="10" t="s">
        <v>57</v>
      </c>
      <c r="L22" s="8">
        <v>0.0</v>
      </c>
      <c r="M22" s="15" t="s">
        <v>177</v>
      </c>
      <c r="N22" s="9" t="s">
        <v>59</v>
      </c>
      <c r="O22" s="12" t="s">
        <v>60</v>
      </c>
      <c r="P22" s="12" t="s">
        <v>60</v>
      </c>
      <c r="Q22" s="12" t="s">
        <v>60</v>
      </c>
      <c r="R22" s="12" t="s">
        <v>60</v>
      </c>
      <c r="S22" s="12" t="s">
        <v>60</v>
      </c>
      <c r="T22" s="12" t="s">
        <v>60</v>
      </c>
      <c r="U22" s="12" t="s">
        <v>60</v>
      </c>
      <c r="V22" s="12" t="s">
        <v>60</v>
      </c>
      <c r="W22" s="12" t="s">
        <v>60</v>
      </c>
      <c r="X22" s="12" t="s">
        <v>60</v>
      </c>
      <c r="Y22" s="12" t="s">
        <v>60</v>
      </c>
      <c r="Z22" s="12" t="s">
        <v>60</v>
      </c>
      <c r="AA22" s="12" t="s">
        <v>60</v>
      </c>
      <c r="AB22" s="12" t="s">
        <v>60</v>
      </c>
      <c r="AC22" s="12" t="s">
        <v>60</v>
      </c>
      <c r="AD22" s="12" t="s">
        <v>60</v>
      </c>
      <c r="AE22" s="12" t="s">
        <v>60</v>
      </c>
      <c r="AF22" s="12" t="s">
        <v>60</v>
      </c>
      <c r="AG22" s="9" t="s">
        <v>212</v>
      </c>
      <c r="AH22" s="9" t="s">
        <v>213</v>
      </c>
      <c r="AI22" s="9" t="s">
        <v>214</v>
      </c>
      <c r="AJ22" s="9" t="s">
        <v>215</v>
      </c>
      <c r="AK22" s="12" t="s">
        <v>216</v>
      </c>
      <c r="AL22" s="9" t="s">
        <v>217</v>
      </c>
      <c r="AM22" s="9" t="s">
        <v>80</v>
      </c>
      <c r="AN22" s="9"/>
      <c r="AO22" s="12">
        <v>104.0</v>
      </c>
      <c r="AP22" s="12">
        <v>91234.0</v>
      </c>
      <c r="AQ22" s="12" t="s">
        <v>60</v>
      </c>
      <c r="AR22" s="12" t="s">
        <v>68</v>
      </c>
      <c r="AS22" s="12" t="s">
        <v>69</v>
      </c>
      <c r="AT22" s="12" t="s">
        <v>60</v>
      </c>
    </row>
    <row r="23">
      <c r="A23" s="8">
        <v>2.0</v>
      </c>
      <c r="B23" s="8">
        <v>4.1003017E7</v>
      </c>
      <c r="C23" s="8">
        <v>4169.0</v>
      </c>
      <c r="D23" s="9" t="s">
        <v>218</v>
      </c>
      <c r="E23" s="8" t="str">
        <f t="shared" si="1"/>
        <v>#REF!</v>
      </c>
      <c r="F23" s="9" t="s">
        <v>82</v>
      </c>
      <c r="G23" s="9" t="s">
        <v>83</v>
      </c>
      <c r="H23" s="9" t="s">
        <v>54</v>
      </c>
      <c r="I23" s="9" t="s">
        <v>166</v>
      </c>
      <c r="J23" s="9" t="s">
        <v>176</v>
      </c>
      <c r="K23" s="10" t="s">
        <v>57</v>
      </c>
      <c r="L23" s="8">
        <v>1.0</v>
      </c>
      <c r="M23" s="11" t="s">
        <v>58</v>
      </c>
      <c r="N23" s="9" t="s">
        <v>167</v>
      </c>
      <c r="O23" s="12" t="s">
        <v>60</v>
      </c>
      <c r="P23" s="12" t="s">
        <v>60</v>
      </c>
      <c r="Q23" s="12" t="s">
        <v>60</v>
      </c>
      <c r="R23" s="12" t="s">
        <v>60</v>
      </c>
      <c r="S23" s="12" t="s">
        <v>60</v>
      </c>
      <c r="T23" s="12" t="s">
        <v>60</v>
      </c>
      <c r="U23" s="12" t="s">
        <v>60</v>
      </c>
      <c r="V23" s="12" t="s">
        <v>60</v>
      </c>
      <c r="W23" s="12" t="s">
        <v>60</v>
      </c>
      <c r="X23" s="12" t="s">
        <v>60</v>
      </c>
      <c r="Y23" s="12" t="s">
        <v>60</v>
      </c>
      <c r="Z23" s="12" t="s">
        <v>60</v>
      </c>
      <c r="AA23" s="12" t="s">
        <v>60</v>
      </c>
      <c r="AB23" s="12" t="s">
        <v>60</v>
      </c>
      <c r="AC23" s="12" t="s">
        <v>60</v>
      </c>
      <c r="AD23" s="9"/>
      <c r="AE23" s="12" t="s">
        <v>60</v>
      </c>
      <c r="AF23" s="9"/>
      <c r="AG23" s="9" t="s">
        <v>219</v>
      </c>
      <c r="AH23" s="9" t="s">
        <v>220</v>
      </c>
      <c r="AI23" s="9" t="s">
        <v>221</v>
      </c>
      <c r="AJ23" s="9" t="s">
        <v>222</v>
      </c>
      <c r="AK23" s="12" t="s">
        <v>223</v>
      </c>
      <c r="AL23" s="9" t="s">
        <v>224</v>
      </c>
      <c r="AM23" s="9" t="s">
        <v>91</v>
      </c>
      <c r="AN23" s="9"/>
      <c r="AO23" s="12">
        <v>107.0</v>
      </c>
      <c r="AP23" s="12">
        <v>91002.0</v>
      </c>
      <c r="AQ23" s="12" t="s">
        <v>60</v>
      </c>
      <c r="AR23" s="12" t="s">
        <v>68</v>
      </c>
      <c r="AS23" s="12" t="s">
        <v>69</v>
      </c>
      <c r="AT23" s="12" t="s">
        <v>60</v>
      </c>
    </row>
    <row r="24">
      <c r="A24" s="8">
        <v>2.0</v>
      </c>
      <c r="B24" s="8">
        <v>4.1003019E7</v>
      </c>
      <c r="C24" s="8">
        <v>4170.0</v>
      </c>
      <c r="D24" s="9" t="s">
        <v>225</v>
      </c>
      <c r="E24" s="8" t="str">
        <f t="shared" si="1"/>
        <v>#REF!</v>
      </c>
      <c r="F24" s="9" t="s">
        <v>71</v>
      </c>
      <c r="G24" s="9" t="s">
        <v>72</v>
      </c>
      <c r="H24" s="9" t="s">
        <v>131</v>
      </c>
      <c r="I24" s="9" t="s">
        <v>226</v>
      </c>
      <c r="J24" s="9" t="s">
        <v>227</v>
      </c>
      <c r="K24" s="10" t="s">
        <v>57</v>
      </c>
      <c r="L24" s="8">
        <v>2.0</v>
      </c>
      <c r="M24" s="11" t="s">
        <v>58</v>
      </c>
      <c r="N24" s="9" t="s">
        <v>167</v>
      </c>
      <c r="O24" s="9" t="s">
        <v>60</v>
      </c>
      <c r="P24" s="9" t="s">
        <v>60</v>
      </c>
      <c r="Q24" s="9" t="s">
        <v>60</v>
      </c>
      <c r="R24" s="9" t="s">
        <v>60</v>
      </c>
      <c r="S24" s="9" t="s">
        <v>60</v>
      </c>
      <c r="T24" s="9" t="s">
        <v>60</v>
      </c>
      <c r="U24" s="9" t="s">
        <v>60</v>
      </c>
      <c r="V24" s="9" t="s">
        <v>60</v>
      </c>
      <c r="W24" s="9" t="s">
        <v>60</v>
      </c>
      <c r="X24" s="9" t="s">
        <v>60</v>
      </c>
      <c r="Y24" s="9" t="s">
        <v>60</v>
      </c>
      <c r="Z24" s="9" t="s">
        <v>60</v>
      </c>
      <c r="AA24" s="9" t="s">
        <v>60</v>
      </c>
      <c r="AB24" s="9" t="s">
        <v>60</v>
      </c>
      <c r="AC24" s="9" t="s">
        <v>60</v>
      </c>
      <c r="AD24" s="9"/>
      <c r="AE24" s="9" t="s">
        <v>60</v>
      </c>
      <c r="AF24" s="9"/>
      <c r="AG24" s="9" t="s">
        <v>228</v>
      </c>
      <c r="AH24" s="9" t="s">
        <v>229</v>
      </c>
      <c r="AI24" s="9" t="s">
        <v>230</v>
      </c>
      <c r="AJ24" s="9" t="s">
        <v>231</v>
      </c>
      <c r="AK24" s="9" t="s">
        <v>232</v>
      </c>
      <c r="AL24" s="9" t="s">
        <v>233</v>
      </c>
      <c r="AM24" s="9" t="s">
        <v>80</v>
      </c>
      <c r="AN24" s="9"/>
      <c r="AO24" s="12">
        <v>162.0</v>
      </c>
      <c r="AP24" s="12">
        <v>9001.0</v>
      </c>
      <c r="AQ24" s="12" t="s">
        <v>60</v>
      </c>
      <c r="AR24" s="12" t="s">
        <v>68</v>
      </c>
      <c r="AS24" s="12" t="s">
        <v>69</v>
      </c>
      <c r="AT24" s="12" t="s">
        <v>60</v>
      </c>
    </row>
    <row r="25">
      <c r="A25" s="8">
        <v>2.0</v>
      </c>
      <c r="B25" s="8">
        <v>4.1003021E7</v>
      </c>
      <c r="C25" s="8">
        <v>4171.0</v>
      </c>
      <c r="D25" s="9" t="s">
        <v>234</v>
      </c>
      <c r="E25" s="8" t="str">
        <f t="shared" si="1"/>
        <v>#REF!</v>
      </c>
      <c r="F25" s="9" t="s">
        <v>82</v>
      </c>
      <c r="G25" s="9" t="s">
        <v>83</v>
      </c>
      <c r="H25" s="9" t="s">
        <v>54</v>
      </c>
      <c r="I25" s="9" t="s">
        <v>235</v>
      </c>
      <c r="J25" s="9" t="s">
        <v>56</v>
      </c>
      <c r="K25" s="10" t="s">
        <v>57</v>
      </c>
      <c r="L25" s="8">
        <v>2.0</v>
      </c>
      <c r="M25" s="11" t="s">
        <v>58</v>
      </c>
      <c r="N25" s="9" t="s">
        <v>59</v>
      </c>
      <c r="O25" s="9" t="s">
        <v>60</v>
      </c>
      <c r="P25" s="9" t="s">
        <v>60</v>
      </c>
      <c r="Q25" s="9" t="s">
        <v>60</v>
      </c>
      <c r="R25" s="9" t="s">
        <v>60</v>
      </c>
      <c r="S25" s="9" t="s">
        <v>60</v>
      </c>
      <c r="T25" s="9" t="s">
        <v>60</v>
      </c>
      <c r="U25" s="9" t="s">
        <v>60</v>
      </c>
      <c r="V25" s="9" t="s">
        <v>60</v>
      </c>
      <c r="W25" s="9" t="s">
        <v>60</v>
      </c>
      <c r="X25" s="9" t="s">
        <v>60</v>
      </c>
      <c r="Y25" s="9" t="s">
        <v>60</v>
      </c>
      <c r="Z25" s="9" t="s">
        <v>60</v>
      </c>
      <c r="AA25" s="9" t="s">
        <v>60</v>
      </c>
      <c r="AB25" s="9" t="s">
        <v>60</v>
      </c>
      <c r="AC25" s="9" t="s">
        <v>60</v>
      </c>
      <c r="AD25" s="9" t="s">
        <v>60</v>
      </c>
      <c r="AE25" s="9" t="s">
        <v>60</v>
      </c>
      <c r="AF25" s="9" t="s">
        <v>60</v>
      </c>
      <c r="AG25" s="9" t="s">
        <v>236</v>
      </c>
      <c r="AH25" s="9" t="s">
        <v>237</v>
      </c>
      <c r="AI25" s="9" t="s">
        <v>238</v>
      </c>
      <c r="AJ25" s="9" t="s">
        <v>239</v>
      </c>
      <c r="AK25" s="9" t="s">
        <v>239</v>
      </c>
      <c r="AL25" s="9" t="s">
        <v>240</v>
      </c>
      <c r="AM25" s="9" t="s">
        <v>91</v>
      </c>
      <c r="AN25" s="9"/>
      <c r="AO25" s="12">
        <v>163.0</v>
      </c>
      <c r="AP25" s="12">
        <v>9002.0</v>
      </c>
      <c r="AQ25" s="12" t="s">
        <v>60</v>
      </c>
      <c r="AR25" s="12" t="s">
        <v>68</v>
      </c>
      <c r="AS25" s="12" t="s">
        <v>69</v>
      </c>
      <c r="AT25" s="12" t="s">
        <v>60</v>
      </c>
    </row>
    <row r="26">
      <c r="A26" s="8">
        <v>3.0</v>
      </c>
      <c r="B26" s="8">
        <v>4.1003024E7</v>
      </c>
      <c r="C26" s="8">
        <v>4172.0</v>
      </c>
      <c r="D26" s="9" t="s">
        <v>241</v>
      </c>
      <c r="E26" s="8" t="str">
        <f t="shared" si="1"/>
        <v>#REF!</v>
      </c>
      <c r="F26" s="9" t="s">
        <v>52</v>
      </c>
      <c r="G26" s="9" t="s">
        <v>53</v>
      </c>
      <c r="H26" s="9" t="s">
        <v>242</v>
      </c>
      <c r="I26" s="9" t="s">
        <v>243</v>
      </c>
      <c r="J26" s="9" t="s">
        <v>227</v>
      </c>
      <c r="K26" s="10" t="s">
        <v>57</v>
      </c>
      <c r="L26" s="8">
        <v>2.0</v>
      </c>
      <c r="M26" s="11" t="s">
        <v>58</v>
      </c>
      <c r="N26" s="9" t="s">
        <v>59</v>
      </c>
      <c r="O26" s="9" t="s">
        <v>60</v>
      </c>
      <c r="P26" s="9" t="s">
        <v>60</v>
      </c>
      <c r="Q26" s="9" t="s">
        <v>60</v>
      </c>
      <c r="R26" s="9" t="s">
        <v>60</v>
      </c>
      <c r="S26" s="9" t="s">
        <v>60</v>
      </c>
      <c r="T26" s="9" t="s">
        <v>60</v>
      </c>
      <c r="U26" s="9" t="s">
        <v>60</v>
      </c>
      <c r="V26" s="9" t="s">
        <v>60</v>
      </c>
      <c r="W26" s="9" t="s">
        <v>60</v>
      </c>
      <c r="X26" s="9" t="s">
        <v>60</v>
      </c>
      <c r="Y26" s="9" t="s">
        <v>60</v>
      </c>
      <c r="Z26" s="9" t="s">
        <v>60</v>
      </c>
      <c r="AA26" s="9" t="s">
        <v>60</v>
      </c>
      <c r="AB26" s="9" t="s">
        <v>60</v>
      </c>
      <c r="AC26" s="9" t="s">
        <v>60</v>
      </c>
      <c r="AD26" s="9" t="s">
        <v>60</v>
      </c>
      <c r="AE26" s="9" t="s">
        <v>60</v>
      </c>
      <c r="AF26" s="9" t="s">
        <v>60</v>
      </c>
      <c r="AG26" s="9" t="s">
        <v>244</v>
      </c>
      <c r="AH26" s="9" t="s">
        <v>245</v>
      </c>
      <c r="AI26" s="9" t="s">
        <v>246</v>
      </c>
      <c r="AJ26" s="9" t="s">
        <v>247</v>
      </c>
      <c r="AK26" s="9" t="s">
        <v>248</v>
      </c>
      <c r="AL26" s="9" t="s">
        <v>249</v>
      </c>
      <c r="AM26" s="9" t="s">
        <v>67</v>
      </c>
      <c r="AN26" s="9"/>
      <c r="AO26" s="12">
        <v>167.0</v>
      </c>
      <c r="AP26" s="12">
        <v>14.0</v>
      </c>
      <c r="AQ26" s="12" t="s">
        <v>60</v>
      </c>
      <c r="AR26" s="12" t="s">
        <v>68</v>
      </c>
      <c r="AS26" s="12" t="s">
        <v>69</v>
      </c>
      <c r="AT26" s="12" t="s">
        <v>60</v>
      </c>
    </row>
    <row r="27">
      <c r="A27" s="8">
        <v>2.0</v>
      </c>
      <c r="B27" s="8">
        <v>4.1003022E7</v>
      </c>
      <c r="C27" s="8">
        <v>4173.0</v>
      </c>
      <c r="D27" s="9" t="s">
        <v>250</v>
      </c>
      <c r="E27" s="8" t="str">
        <f t="shared" si="1"/>
        <v>#REF!</v>
      </c>
      <c r="F27" s="9" t="s">
        <v>52</v>
      </c>
      <c r="G27" s="9" t="s">
        <v>53</v>
      </c>
      <c r="H27" s="9" t="s">
        <v>242</v>
      </c>
      <c r="I27" s="9" t="s">
        <v>251</v>
      </c>
      <c r="J27" s="9" t="s">
        <v>56</v>
      </c>
      <c r="K27" s="10" t="s">
        <v>57</v>
      </c>
      <c r="L27" s="8">
        <v>2.0</v>
      </c>
      <c r="M27" s="11" t="s">
        <v>58</v>
      </c>
      <c r="N27" s="9" t="s">
        <v>167</v>
      </c>
      <c r="O27" s="9" t="s">
        <v>60</v>
      </c>
      <c r="P27" s="9" t="s">
        <v>60</v>
      </c>
      <c r="Q27" s="9" t="s">
        <v>60</v>
      </c>
      <c r="R27" s="9" t="s">
        <v>60</v>
      </c>
      <c r="S27" s="9" t="s">
        <v>60</v>
      </c>
      <c r="T27" s="9" t="s">
        <v>60</v>
      </c>
      <c r="U27" s="9" t="s">
        <v>60</v>
      </c>
      <c r="V27" s="9" t="s">
        <v>60</v>
      </c>
      <c r="W27" s="9" t="s">
        <v>60</v>
      </c>
      <c r="X27" s="9" t="s">
        <v>60</v>
      </c>
      <c r="Y27" s="9" t="s">
        <v>60</v>
      </c>
      <c r="Z27" s="9" t="s">
        <v>60</v>
      </c>
      <c r="AA27" s="9" t="s">
        <v>60</v>
      </c>
      <c r="AB27" s="9" t="s">
        <v>60</v>
      </c>
      <c r="AC27" s="9" t="s">
        <v>60</v>
      </c>
      <c r="AD27" s="9"/>
      <c r="AE27" s="9" t="s">
        <v>60</v>
      </c>
      <c r="AF27" s="9"/>
      <c r="AG27" s="9" t="s">
        <v>252</v>
      </c>
      <c r="AH27" s="9" t="s">
        <v>253</v>
      </c>
      <c r="AI27" s="9" t="s">
        <v>254</v>
      </c>
      <c r="AJ27" s="9" t="s">
        <v>255</v>
      </c>
      <c r="AK27" s="9" t="s">
        <v>256</v>
      </c>
      <c r="AL27" s="9" t="s">
        <v>257</v>
      </c>
      <c r="AM27" s="9" t="s">
        <v>67</v>
      </c>
      <c r="AN27" s="9"/>
      <c r="AO27" s="12">
        <v>164.0</v>
      </c>
      <c r="AP27" s="12">
        <v>9003.0</v>
      </c>
      <c r="AQ27" s="12" t="s">
        <v>60</v>
      </c>
      <c r="AR27" s="12" t="s">
        <v>68</v>
      </c>
      <c r="AS27" s="12" t="s">
        <v>69</v>
      </c>
      <c r="AT27" s="12" t="s">
        <v>60</v>
      </c>
    </row>
    <row r="28">
      <c r="A28" s="8">
        <v>2.0</v>
      </c>
      <c r="B28" s="8">
        <v>4.100302E7</v>
      </c>
      <c r="C28" s="8">
        <v>4175.0</v>
      </c>
      <c r="D28" s="9" t="s">
        <v>258</v>
      </c>
      <c r="E28" s="8" t="str">
        <f t="shared" si="1"/>
        <v>#REF!</v>
      </c>
      <c r="F28" s="9" t="s">
        <v>82</v>
      </c>
      <c r="G28" s="9" t="s">
        <v>83</v>
      </c>
      <c r="H28" s="9" t="s">
        <v>54</v>
      </c>
      <c r="I28" s="9" t="s">
        <v>198</v>
      </c>
      <c r="J28" s="9" t="s">
        <v>176</v>
      </c>
      <c r="K28" s="10" t="s">
        <v>57</v>
      </c>
      <c r="L28" s="8">
        <v>1.0</v>
      </c>
      <c r="M28" s="11" t="s">
        <v>58</v>
      </c>
      <c r="N28" s="9" t="s">
        <v>59</v>
      </c>
      <c r="O28" s="9" t="s">
        <v>60</v>
      </c>
      <c r="P28" s="9" t="s">
        <v>60</v>
      </c>
      <c r="Q28" s="9" t="s">
        <v>60</v>
      </c>
      <c r="R28" s="9" t="s">
        <v>60</v>
      </c>
      <c r="S28" s="9" t="s">
        <v>60</v>
      </c>
      <c r="T28" s="9" t="s">
        <v>60</v>
      </c>
      <c r="U28" s="9" t="s">
        <v>60</v>
      </c>
      <c r="V28" s="9" t="s">
        <v>60</v>
      </c>
      <c r="W28" s="9" t="s">
        <v>60</v>
      </c>
      <c r="X28" s="9" t="s">
        <v>60</v>
      </c>
      <c r="Y28" s="9" t="s">
        <v>60</v>
      </c>
      <c r="Z28" s="9" t="s">
        <v>60</v>
      </c>
      <c r="AA28" s="9" t="s">
        <v>60</v>
      </c>
      <c r="AB28" s="9" t="s">
        <v>60</v>
      </c>
      <c r="AC28" s="9" t="s">
        <v>60</v>
      </c>
      <c r="AD28" s="9" t="s">
        <v>60</v>
      </c>
      <c r="AE28" s="9" t="s">
        <v>60</v>
      </c>
      <c r="AF28" s="9" t="s">
        <v>60</v>
      </c>
      <c r="AG28" s="9" t="s">
        <v>259</v>
      </c>
      <c r="AH28" s="9" t="s">
        <v>260</v>
      </c>
      <c r="AI28" s="9" t="s">
        <v>261</v>
      </c>
      <c r="AJ28" s="9" t="s">
        <v>262</v>
      </c>
      <c r="AK28" s="9" t="s">
        <v>78</v>
      </c>
      <c r="AL28" s="9" t="s">
        <v>263</v>
      </c>
      <c r="AM28" s="9" t="s">
        <v>91</v>
      </c>
      <c r="AN28" s="9"/>
      <c r="AO28" s="12">
        <v>158.0</v>
      </c>
      <c r="AP28" s="12">
        <v>9011.0</v>
      </c>
      <c r="AQ28" s="12" t="s">
        <v>60</v>
      </c>
      <c r="AR28" s="12" t="s">
        <v>68</v>
      </c>
      <c r="AS28" s="12" t="s">
        <v>69</v>
      </c>
      <c r="AT28" s="12" t="s">
        <v>60</v>
      </c>
    </row>
    <row r="29">
      <c r="A29" s="8">
        <v>3.0</v>
      </c>
      <c r="B29" s="8">
        <v>4.1003013E7</v>
      </c>
      <c r="C29" s="8">
        <v>4176.0</v>
      </c>
      <c r="D29" s="9" t="s">
        <v>264</v>
      </c>
      <c r="E29" s="8" t="str">
        <f t="shared" si="1"/>
        <v>#REF!</v>
      </c>
      <c r="F29" s="9" t="s">
        <v>71</v>
      </c>
      <c r="G29" s="9" t="s">
        <v>72</v>
      </c>
      <c r="H29" s="9" t="s">
        <v>54</v>
      </c>
      <c r="I29" s="9" t="s">
        <v>166</v>
      </c>
      <c r="J29" s="9" t="s">
        <v>265</v>
      </c>
      <c r="K29" s="10" t="s">
        <v>57</v>
      </c>
      <c r="L29" s="8">
        <v>2.0</v>
      </c>
      <c r="M29" s="11" t="s">
        <v>58</v>
      </c>
      <c r="N29" s="9" t="s">
        <v>59</v>
      </c>
      <c r="O29" s="9" t="s">
        <v>60</v>
      </c>
      <c r="P29" s="9" t="s">
        <v>60</v>
      </c>
      <c r="Q29" s="9" t="s">
        <v>60</v>
      </c>
      <c r="R29" s="9" t="s">
        <v>60</v>
      </c>
      <c r="S29" s="9" t="s">
        <v>60</v>
      </c>
      <c r="T29" s="9" t="s">
        <v>60</v>
      </c>
      <c r="U29" s="9" t="s">
        <v>60</v>
      </c>
      <c r="V29" s="9" t="s">
        <v>60</v>
      </c>
      <c r="W29" s="9" t="s">
        <v>60</v>
      </c>
      <c r="X29" s="9" t="s">
        <v>60</v>
      </c>
      <c r="Y29" s="9" t="s">
        <v>60</v>
      </c>
      <c r="Z29" s="9" t="s">
        <v>60</v>
      </c>
      <c r="AA29" s="9" t="s">
        <v>60</v>
      </c>
      <c r="AB29" s="9" t="s">
        <v>60</v>
      </c>
      <c r="AC29" s="9" t="s">
        <v>60</v>
      </c>
      <c r="AD29" s="9" t="s">
        <v>60</v>
      </c>
      <c r="AE29" s="9"/>
      <c r="AF29" s="9" t="s">
        <v>60</v>
      </c>
      <c r="AG29" s="9" t="s">
        <v>266</v>
      </c>
      <c r="AH29" s="9" t="s">
        <v>267</v>
      </c>
      <c r="AI29" s="9" t="s">
        <v>268</v>
      </c>
      <c r="AJ29" s="9"/>
      <c r="AK29" s="9" t="s">
        <v>187</v>
      </c>
      <c r="AL29" s="9" t="s">
        <v>269</v>
      </c>
      <c r="AM29" s="9" t="s">
        <v>80</v>
      </c>
      <c r="AN29" s="9"/>
      <c r="AO29" s="12">
        <v>165.0</v>
      </c>
      <c r="AP29" s="12">
        <v>3.0</v>
      </c>
      <c r="AQ29" s="12" t="s">
        <v>60</v>
      </c>
      <c r="AR29" s="12" t="s">
        <v>68</v>
      </c>
      <c r="AS29" s="12" t="s">
        <v>69</v>
      </c>
      <c r="AT29" s="12" t="s">
        <v>60</v>
      </c>
    </row>
    <row r="30">
      <c r="A30" s="8">
        <v>2.0</v>
      </c>
      <c r="B30" s="8">
        <v>4.1003023E7</v>
      </c>
      <c r="C30" s="8">
        <v>4177.0</v>
      </c>
      <c r="D30" s="9" t="s">
        <v>270</v>
      </c>
      <c r="E30" s="8" t="str">
        <f t="shared" si="1"/>
        <v>#REF!</v>
      </c>
      <c r="F30" s="9" t="s">
        <v>52</v>
      </c>
      <c r="G30" s="9" t="s">
        <v>53</v>
      </c>
      <c r="H30" s="9" t="s">
        <v>54</v>
      </c>
      <c r="I30" s="9" t="s">
        <v>270</v>
      </c>
      <c r="J30" s="9" t="s">
        <v>227</v>
      </c>
      <c r="K30" s="10" t="s">
        <v>57</v>
      </c>
      <c r="L30" s="8">
        <v>2.0</v>
      </c>
      <c r="M30" s="11" t="s">
        <v>58</v>
      </c>
      <c r="N30" s="9" t="s">
        <v>59</v>
      </c>
      <c r="O30" s="9" t="s">
        <v>60</v>
      </c>
      <c r="P30" s="9" t="s">
        <v>60</v>
      </c>
      <c r="Q30" s="9" t="s">
        <v>60</v>
      </c>
      <c r="R30" s="9" t="s">
        <v>60</v>
      </c>
      <c r="S30" s="9" t="s">
        <v>60</v>
      </c>
      <c r="T30" s="9" t="s">
        <v>60</v>
      </c>
      <c r="U30" s="9" t="s">
        <v>60</v>
      </c>
      <c r="V30" s="9" t="s">
        <v>60</v>
      </c>
      <c r="W30" s="9" t="s">
        <v>60</v>
      </c>
      <c r="X30" s="9" t="s">
        <v>60</v>
      </c>
      <c r="Y30" s="9" t="s">
        <v>60</v>
      </c>
      <c r="Z30" s="9" t="s">
        <v>60</v>
      </c>
      <c r="AA30" s="9" t="s">
        <v>60</v>
      </c>
      <c r="AB30" s="9" t="s">
        <v>60</v>
      </c>
      <c r="AC30" s="9" t="s">
        <v>60</v>
      </c>
      <c r="AD30" s="9" t="s">
        <v>60</v>
      </c>
      <c r="AE30" s="9" t="s">
        <v>60</v>
      </c>
      <c r="AF30" s="9" t="s">
        <v>60</v>
      </c>
      <c r="AG30" s="9" t="s">
        <v>271</v>
      </c>
      <c r="AH30" s="9" t="s">
        <v>272</v>
      </c>
      <c r="AI30" s="9" t="s">
        <v>273</v>
      </c>
      <c r="AJ30" s="9" t="s">
        <v>274</v>
      </c>
      <c r="AK30" s="9" t="s">
        <v>275</v>
      </c>
      <c r="AL30" s="9" t="s">
        <v>276</v>
      </c>
      <c r="AM30" s="9" t="s">
        <v>67</v>
      </c>
      <c r="AN30" s="9"/>
      <c r="AO30" s="12">
        <v>159.0</v>
      </c>
      <c r="AP30" s="12">
        <v>9013.0</v>
      </c>
      <c r="AQ30" s="12" t="s">
        <v>60</v>
      </c>
      <c r="AR30" s="12" t="s">
        <v>68</v>
      </c>
      <c r="AS30" s="12" t="s">
        <v>69</v>
      </c>
      <c r="AT30" s="12" t="s">
        <v>60</v>
      </c>
    </row>
    <row r="31">
      <c r="A31" s="8">
        <v>4.0</v>
      </c>
      <c r="B31" s="8">
        <v>4.1001096E7</v>
      </c>
      <c r="C31" s="8">
        <v>4178.0</v>
      </c>
      <c r="D31" s="9" t="s">
        <v>277</v>
      </c>
      <c r="E31" s="8" t="str">
        <f t="shared" si="1"/>
        <v>#REF!</v>
      </c>
      <c r="F31" s="9" t="s">
        <v>82</v>
      </c>
      <c r="G31" s="9" t="s">
        <v>83</v>
      </c>
      <c r="H31" s="9" t="s">
        <v>54</v>
      </c>
      <c r="I31" s="9" t="s">
        <v>152</v>
      </c>
      <c r="J31" s="9" t="s">
        <v>56</v>
      </c>
      <c r="K31" s="10" t="s">
        <v>57</v>
      </c>
      <c r="L31" s="8">
        <v>1.0</v>
      </c>
      <c r="M31" s="11" t="s">
        <v>58</v>
      </c>
      <c r="N31" s="9" t="s">
        <v>59</v>
      </c>
      <c r="O31" s="9" t="s">
        <v>60</v>
      </c>
      <c r="P31" s="9" t="s">
        <v>60</v>
      </c>
      <c r="Q31" s="9" t="s">
        <v>60</v>
      </c>
      <c r="R31" s="9" t="s">
        <v>60</v>
      </c>
      <c r="S31" s="9" t="s">
        <v>60</v>
      </c>
      <c r="T31" s="9" t="s">
        <v>60</v>
      </c>
      <c r="U31" s="9" t="s">
        <v>60</v>
      </c>
      <c r="V31" s="9" t="s">
        <v>60</v>
      </c>
      <c r="W31" s="9" t="s">
        <v>60</v>
      </c>
      <c r="X31" s="9" t="s">
        <v>60</v>
      </c>
      <c r="Y31" s="9" t="s">
        <v>60</v>
      </c>
      <c r="Z31" s="9" t="s">
        <v>60</v>
      </c>
      <c r="AA31" s="9" t="s">
        <v>60</v>
      </c>
      <c r="AB31" s="9" t="s">
        <v>60</v>
      </c>
      <c r="AC31" s="9" t="s">
        <v>60</v>
      </c>
      <c r="AD31" s="9" t="s">
        <v>60</v>
      </c>
      <c r="AE31" s="9"/>
      <c r="AF31" s="9"/>
      <c r="AG31" s="9" t="s">
        <v>278</v>
      </c>
      <c r="AH31" s="9" t="s">
        <v>279</v>
      </c>
      <c r="AI31" s="9" t="s">
        <v>280</v>
      </c>
      <c r="AJ31" s="9" t="s">
        <v>281</v>
      </c>
      <c r="AK31" s="9" t="s">
        <v>282</v>
      </c>
      <c r="AL31" s="9"/>
      <c r="AM31" s="9" t="s">
        <v>91</v>
      </c>
      <c r="AN31" s="9"/>
      <c r="AO31" s="12">
        <v>330.0</v>
      </c>
      <c r="AP31" s="12">
        <v>27.0</v>
      </c>
      <c r="AQ31" s="12" t="s">
        <v>60</v>
      </c>
      <c r="AR31" s="12" t="s">
        <v>68</v>
      </c>
      <c r="AS31" s="12" t="s">
        <v>69</v>
      </c>
      <c r="AT31" s="12" t="s">
        <v>60</v>
      </c>
    </row>
    <row r="32">
      <c r="A32" s="8">
        <v>4.0</v>
      </c>
      <c r="B32" s="8">
        <v>4.1001097E7</v>
      </c>
      <c r="C32" s="8">
        <v>4179.0</v>
      </c>
      <c r="D32" s="9" t="s">
        <v>283</v>
      </c>
      <c r="E32" s="8" t="str">
        <f t="shared" si="1"/>
        <v>#REF!</v>
      </c>
      <c r="F32" s="9" t="s">
        <v>71</v>
      </c>
      <c r="G32" s="9" t="s">
        <v>72</v>
      </c>
      <c r="H32" s="9" t="s">
        <v>284</v>
      </c>
      <c r="I32" s="9" t="s">
        <v>283</v>
      </c>
      <c r="J32" s="9" t="s">
        <v>56</v>
      </c>
      <c r="K32" s="10" t="s">
        <v>57</v>
      </c>
      <c r="L32" s="8">
        <v>2.0</v>
      </c>
      <c r="M32" s="11" t="s">
        <v>58</v>
      </c>
      <c r="N32" s="9" t="s">
        <v>59</v>
      </c>
      <c r="O32" s="9" t="s">
        <v>60</v>
      </c>
      <c r="P32" s="9" t="s">
        <v>60</v>
      </c>
      <c r="Q32" s="9" t="s">
        <v>60</v>
      </c>
      <c r="R32" s="9" t="s">
        <v>60</v>
      </c>
      <c r="S32" s="9" t="s">
        <v>60</v>
      </c>
      <c r="T32" s="9" t="s">
        <v>60</v>
      </c>
      <c r="U32" s="9" t="s">
        <v>60</v>
      </c>
      <c r="V32" s="9" t="s">
        <v>60</v>
      </c>
      <c r="W32" s="9" t="s">
        <v>60</v>
      </c>
      <c r="X32" s="9" t="s">
        <v>60</v>
      </c>
      <c r="Y32" s="9" t="s">
        <v>60</v>
      </c>
      <c r="Z32" s="9" t="s">
        <v>60</v>
      </c>
      <c r="AA32" s="9" t="s">
        <v>60</v>
      </c>
      <c r="AB32" s="9" t="s">
        <v>60</v>
      </c>
      <c r="AC32" s="9" t="s">
        <v>60</v>
      </c>
      <c r="AD32" s="9" t="s">
        <v>60</v>
      </c>
      <c r="AE32" s="9" t="s">
        <v>60</v>
      </c>
      <c r="AF32" s="9" t="s">
        <v>60</v>
      </c>
      <c r="AG32" s="9" t="s">
        <v>285</v>
      </c>
      <c r="AH32" s="9" t="s">
        <v>286</v>
      </c>
      <c r="AI32" s="9" t="s">
        <v>287</v>
      </c>
      <c r="AJ32" s="9" t="s">
        <v>288</v>
      </c>
      <c r="AK32" s="9" t="s">
        <v>289</v>
      </c>
      <c r="AL32" s="9" t="s">
        <v>290</v>
      </c>
      <c r="AM32" s="9" t="s">
        <v>80</v>
      </c>
      <c r="AN32" s="9"/>
      <c r="AO32" s="12">
        <v>333.0</v>
      </c>
      <c r="AP32" s="12">
        <v>30.0</v>
      </c>
      <c r="AQ32" s="12" t="s">
        <v>60</v>
      </c>
      <c r="AR32" s="12" t="s">
        <v>68</v>
      </c>
      <c r="AS32" s="12" t="s">
        <v>69</v>
      </c>
      <c r="AT32" s="12" t="s">
        <v>60</v>
      </c>
    </row>
    <row r="33">
      <c r="A33" s="8">
        <v>3.0</v>
      </c>
      <c r="B33" s="8">
        <v>4.1003027E7</v>
      </c>
      <c r="C33" s="8">
        <v>4180.0</v>
      </c>
      <c r="D33" s="9" t="s">
        <v>291</v>
      </c>
      <c r="E33" s="8" t="str">
        <f t="shared" si="1"/>
        <v>#REF!</v>
      </c>
      <c r="F33" s="9" t="s">
        <v>71</v>
      </c>
      <c r="G33" s="9" t="s">
        <v>72</v>
      </c>
      <c r="H33" s="9" t="s">
        <v>291</v>
      </c>
      <c r="I33" s="9" t="s">
        <v>291</v>
      </c>
      <c r="J33" s="9" t="s">
        <v>56</v>
      </c>
      <c r="K33" s="10" t="s">
        <v>57</v>
      </c>
      <c r="L33" s="8">
        <v>2.0</v>
      </c>
      <c r="M33" s="11" t="s">
        <v>58</v>
      </c>
      <c r="N33" s="9" t="s">
        <v>59</v>
      </c>
      <c r="O33" s="9" t="s">
        <v>60</v>
      </c>
      <c r="P33" s="9" t="s">
        <v>60</v>
      </c>
      <c r="Q33" s="9" t="s">
        <v>60</v>
      </c>
      <c r="R33" s="9" t="s">
        <v>60</v>
      </c>
      <c r="S33" s="9" t="s">
        <v>60</v>
      </c>
      <c r="T33" s="9" t="s">
        <v>60</v>
      </c>
      <c r="U33" s="9" t="s">
        <v>60</v>
      </c>
      <c r="V33" s="9" t="s">
        <v>60</v>
      </c>
      <c r="W33" s="9" t="s">
        <v>60</v>
      </c>
      <c r="X33" s="9" t="s">
        <v>60</v>
      </c>
      <c r="Y33" s="9" t="s">
        <v>60</v>
      </c>
      <c r="Z33" s="9" t="s">
        <v>60</v>
      </c>
      <c r="AA33" s="9" t="s">
        <v>60</v>
      </c>
      <c r="AB33" s="9" t="s">
        <v>60</v>
      </c>
      <c r="AC33" s="9" t="s">
        <v>60</v>
      </c>
      <c r="AD33" s="9" t="s">
        <v>60</v>
      </c>
      <c r="AE33" s="9" t="s">
        <v>60</v>
      </c>
      <c r="AF33" s="9" t="s">
        <v>60</v>
      </c>
      <c r="AG33" s="9" t="s">
        <v>292</v>
      </c>
      <c r="AH33" s="9" t="s">
        <v>293</v>
      </c>
      <c r="AI33" s="9" t="s">
        <v>294</v>
      </c>
      <c r="AJ33" s="9" t="s">
        <v>295</v>
      </c>
      <c r="AK33" s="9" t="s">
        <v>65</v>
      </c>
      <c r="AL33" s="9" t="s">
        <v>296</v>
      </c>
      <c r="AM33" s="9" t="s">
        <v>80</v>
      </c>
      <c r="AN33" s="9"/>
      <c r="AO33" s="12">
        <v>168.0</v>
      </c>
      <c r="AP33" s="12">
        <v>17.0</v>
      </c>
      <c r="AQ33" s="12" t="s">
        <v>60</v>
      </c>
      <c r="AR33" s="12" t="s">
        <v>68</v>
      </c>
      <c r="AS33" s="12" t="s">
        <v>69</v>
      </c>
      <c r="AT33" s="12" t="s">
        <v>60</v>
      </c>
    </row>
    <row r="34">
      <c r="A34" s="8">
        <v>3.0</v>
      </c>
      <c r="B34" s="8">
        <v>4.1003026E7</v>
      </c>
      <c r="C34" s="8">
        <v>4181.0</v>
      </c>
      <c r="D34" s="9" t="s">
        <v>297</v>
      </c>
      <c r="E34" s="8" t="str">
        <f t="shared" si="1"/>
        <v>#REF!</v>
      </c>
      <c r="F34" s="9" t="s">
        <v>71</v>
      </c>
      <c r="G34" s="9" t="s">
        <v>72</v>
      </c>
      <c r="H34" s="9" t="s">
        <v>291</v>
      </c>
      <c r="I34" s="9" t="s">
        <v>297</v>
      </c>
      <c r="J34" s="9" t="s">
        <v>56</v>
      </c>
      <c r="K34" s="10" t="s">
        <v>57</v>
      </c>
      <c r="L34" s="8">
        <v>1.0</v>
      </c>
      <c r="M34" s="11" t="s">
        <v>58</v>
      </c>
      <c r="N34" s="9" t="s">
        <v>59</v>
      </c>
      <c r="O34" s="9" t="s">
        <v>60</v>
      </c>
      <c r="P34" s="9" t="s">
        <v>60</v>
      </c>
      <c r="Q34" s="9" t="s">
        <v>60</v>
      </c>
      <c r="R34" s="9" t="s">
        <v>60</v>
      </c>
      <c r="S34" s="9" t="s">
        <v>60</v>
      </c>
      <c r="T34" s="9" t="s">
        <v>60</v>
      </c>
      <c r="U34" s="9" t="s">
        <v>60</v>
      </c>
      <c r="V34" s="9" t="s">
        <v>60</v>
      </c>
      <c r="W34" s="9" t="s">
        <v>60</v>
      </c>
      <c r="X34" s="9" t="s">
        <v>60</v>
      </c>
      <c r="Y34" s="9" t="s">
        <v>60</v>
      </c>
      <c r="Z34" s="9" t="s">
        <v>60</v>
      </c>
      <c r="AA34" s="9" t="s">
        <v>60</v>
      </c>
      <c r="AB34" s="9" t="s">
        <v>60</v>
      </c>
      <c r="AC34" s="9" t="s">
        <v>60</v>
      </c>
      <c r="AD34" s="9" t="s">
        <v>60</v>
      </c>
      <c r="AE34" s="9" t="s">
        <v>60</v>
      </c>
      <c r="AF34" s="9" t="s">
        <v>60</v>
      </c>
      <c r="AG34" s="9" t="s">
        <v>298</v>
      </c>
      <c r="AH34" s="9" t="s">
        <v>299</v>
      </c>
      <c r="AI34" s="9" t="s">
        <v>300</v>
      </c>
      <c r="AJ34" s="9" t="s">
        <v>301</v>
      </c>
      <c r="AK34" s="9" t="s">
        <v>302</v>
      </c>
      <c r="AL34" s="9" t="s">
        <v>303</v>
      </c>
      <c r="AM34" s="9" t="s">
        <v>80</v>
      </c>
      <c r="AN34" s="9"/>
      <c r="AO34" s="12">
        <v>169.0</v>
      </c>
      <c r="AP34" s="12">
        <v>18.0</v>
      </c>
      <c r="AQ34" s="12" t="s">
        <v>60</v>
      </c>
      <c r="AR34" s="12" t="s">
        <v>68</v>
      </c>
      <c r="AS34" s="12" t="s">
        <v>69</v>
      </c>
      <c r="AT34" s="12" t="s">
        <v>60</v>
      </c>
    </row>
    <row r="35">
      <c r="A35" s="8">
        <v>3.0</v>
      </c>
      <c r="B35" s="8">
        <v>4.1003028E7</v>
      </c>
      <c r="C35" s="8">
        <v>4182.0</v>
      </c>
      <c r="D35" s="9" t="s">
        <v>304</v>
      </c>
      <c r="E35" s="8" t="str">
        <f t="shared" si="1"/>
        <v>#REF!</v>
      </c>
      <c r="F35" s="9" t="s">
        <v>52</v>
      </c>
      <c r="G35" s="9" t="s">
        <v>53</v>
      </c>
      <c r="H35" s="9" t="s">
        <v>54</v>
      </c>
      <c r="I35" s="9" t="s">
        <v>305</v>
      </c>
      <c r="J35" s="9" t="s">
        <v>306</v>
      </c>
      <c r="K35" s="10" t="s">
        <v>57</v>
      </c>
      <c r="L35" s="8">
        <v>1.0</v>
      </c>
      <c r="M35" s="11" t="s">
        <v>58</v>
      </c>
      <c r="N35" s="9" t="s">
        <v>59</v>
      </c>
      <c r="O35" s="9" t="s">
        <v>60</v>
      </c>
      <c r="P35" s="9" t="s">
        <v>60</v>
      </c>
      <c r="Q35" s="9" t="s">
        <v>60</v>
      </c>
      <c r="R35" s="9" t="s">
        <v>60</v>
      </c>
      <c r="S35" s="9" t="s">
        <v>60</v>
      </c>
      <c r="T35" s="9" t="s">
        <v>60</v>
      </c>
      <c r="U35" s="9" t="s">
        <v>60</v>
      </c>
      <c r="V35" s="9" t="s">
        <v>60</v>
      </c>
      <c r="W35" s="9" t="s">
        <v>60</v>
      </c>
      <c r="X35" s="9" t="s">
        <v>60</v>
      </c>
      <c r="Y35" s="9" t="s">
        <v>60</v>
      </c>
      <c r="Z35" s="9" t="s">
        <v>60</v>
      </c>
      <c r="AA35" s="9" t="s">
        <v>60</v>
      </c>
      <c r="AB35" s="9" t="s">
        <v>60</v>
      </c>
      <c r="AC35" s="9" t="s">
        <v>60</v>
      </c>
      <c r="AD35" s="9" t="s">
        <v>60</v>
      </c>
      <c r="AE35" s="9"/>
      <c r="AF35" s="9" t="s">
        <v>60</v>
      </c>
      <c r="AG35" s="9" t="s">
        <v>307</v>
      </c>
      <c r="AH35" s="9" t="s">
        <v>308</v>
      </c>
      <c r="AI35" s="9" t="s">
        <v>309</v>
      </c>
      <c r="AJ35" s="9" t="s">
        <v>310</v>
      </c>
      <c r="AK35" s="9" t="s">
        <v>311</v>
      </c>
      <c r="AL35" s="9" t="s">
        <v>312</v>
      </c>
      <c r="AM35" s="9" t="s">
        <v>67</v>
      </c>
      <c r="AN35" s="9"/>
      <c r="AO35" s="12">
        <v>166.0</v>
      </c>
      <c r="AP35" s="12">
        <v>4.0</v>
      </c>
      <c r="AQ35" s="12" t="s">
        <v>60</v>
      </c>
      <c r="AR35" s="12" t="s">
        <v>68</v>
      </c>
      <c r="AS35" s="12" t="s">
        <v>69</v>
      </c>
      <c r="AT35" s="12" t="s">
        <v>60</v>
      </c>
    </row>
    <row r="36">
      <c r="A36" s="8">
        <v>3.0</v>
      </c>
      <c r="B36" s="8">
        <v>4.1003029E7</v>
      </c>
      <c r="C36" s="8">
        <v>4183.0</v>
      </c>
      <c r="D36" s="9" t="s">
        <v>313</v>
      </c>
      <c r="E36" s="8" t="str">
        <f t="shared" si="1"/>
        <v>#REF!</v>
      </c>
      <c r="F36" s="9" t="s">
        <v>52</v>
      </c>
      <c r="G36" s="9" t="s">
        <v>53</v>
      </c>
      <c r="H36" s="9" t="s">
        <v>54</v>
      </c>
      <c r="I36" s="9" t="s">
        <v>314</v>
      </c>
      <c r="J36" s="9" t="s">
        <v>56</v>
      </c>
      <c r="K36" s="10" t="s">
        <v>57</v>
      </c>
      <c r="L36" s="8">
        <v>1.0</v>
      </c>
      <c r="M36" s="11" t="s">
        <v>58</v>
      </c>
      <c r="N36" s="9" t="s">
        <v>59</v>
      </c>
      <c r="O36" s="9" t="s">
        <v>60</v>
      </c>
      <c r="P36" s="9" t="s">
        <v>60</v>
      </c>
      <c r="Q36" s="9" t="s">
        <v>60</v>
      </c>
      <c r="R36" s="9" t="s">
        <v>60</v>
      </c>
      <c r="S36" s="9" t="s">
        <v>60</v>
      </c>
      <c r="T36" s="9" t="s">
        <v>60</v>
      </c>
      <c r="U36" s="9" t="s">
        <v>60</v>
      </c>
      <c r="V36" s="9" t="s">
        <v>60</v>
      </c>
      <c r="W36" s="9" t="s">
        <v>60</v>
      </c>
      <c r="X36" s="9" t="s">
        <v>60</v>
      </c>
      <c r="Y36" s="9" t="s">
        <v>60</v>
      </c>
      <c r="Z36" s="9" t="s">
        <v>60</v>
      </c>
      <c r="AA36" s="9" t="s">
        <v>60</v>
      </c>
      <c r="AB36" s="9" t="s">
        <v>60</v>
      </c>
      <c r="AC36" s="9" t="s">
        <v>60</v>
      </c>
      <c r="AD36" s="9" t="s">
        <v>60</v>
      </c>
      <c r="AE36" s="9" t="s">
        <v>60</v>
      </c>
      <c r="AF36" s="9" t="s">
        <v>60</v>
      </c>
      <c r="AG36" s="9" t="s">
        <v>315</v>
      </c>
      <c r="AH36" s="9" t="s">
        <v>316</v>
      </c>
      <c r="AI36" s="9" t="s">
        <v>317</v>
      </c>
      <c r="AJ36" s="9" t="s">
        <v>318</v>
      </c>
      <c r="AK36" s="9" t="s">
        <v>319</v>
      </c>
      <c r="AL36" s="9" t="s">
        <v>320</v>
      </c>
      <c r="AM36" s="9" t="s">
        <v>67</v>
      </c>
      <c r="AN36" s="9"/>
      <c r="AO36" s="12">
        <v>170.0</v>
      </c>
      <c r="AP36" s="12">
        <v>19.0</v>
      </c>
      <c r="AQ36" s="12" t="s">
        <v>60</v>
      </c>
      <c r="AR36" s="12" t="s">
        <v>68</v>
      </c>
      <c r="AS36" s="12" t="s">
        <v>69</v>
      </c>
      <c r="AT36" s="12" t="s">
        <v>60</v>
      </c>
    </row>
    <row r="37">
      <c r="A37" s="8">
        <v>3.0</v>
      </c>
      <c r="B37" s="16">
        <v>4.1001093E7</v>
      </c>
      <c r="C37" s="8">
        <v>4184.0</v>
      </c>
      <c r="D37" s="9" t="s">
        <v>321</v>
      </c>
      <c r="E37" s="8" t="str">
        <f t="shared" si="1"/>
        <v>#REF!</v>
      </c>
      <c r="F37" s="9" t="s">
        <v>71</v>
      </c>
      <c r="G37" s="9" t="s">
        <v>72</v>
      </c>
      <c r="H37" s="9" t="s">
        <v>54</v>
      </c>
      <c r="I37" s="9" t="s">
        <v>166</v>
      </c>
      <c r="J37" s="9" t="s">
        <v>321</v>
      </c>
      <c r="K37" s="10" t="s">
        <v>57</v>
      </c>
      <c r="L37" s="8">
        <v>1.0</v>
      </c>
      <c r="M37" s="11" t="s">
        <v>58</v>
      </c>
      <c r="N37" s="9" t="s">
        <v>59</v>
      </c>
      <c r="O37" s="9" t="s">
        <v>60</v>
      </c>
      <c r="P37" s="9" t="s">
        <v>60</v>
      </c>
      <c r="Q37" s="9" t="s">
        <v>60</v>
      </c>
      <c r="R37" s="9" t="s">
        <v>60</v>
      </c>
      <c r="S37" s="9" t="s">
        <v>60</v>
      </c>
      <c r="T37" s="9" t="s">
        <v>60</v>
      </c>
      <c r="U37" s="9" t="s">
        <v>60</v>
      </c>
      <c r="V37" s="9" t="s">
        <v>60</v>
      </c>
      <c r="W37" s="9" t="s">
        <v>60</v>
      </c>
      <c r="X37" s="9" t="s">
        <v>60</v>
      </c>
      <c r="Y37" s="9" t="s">
        <v>60</v>
      </c>
      <c r="Z37" s="9" t="s">
        <v>60</v>
      </c>
      <c r="AA37" s="9" t="s">
        <v>60</v>
      </c>
      <c r="AB37" s="9" t="s">
        <v>60</v>
      </c>
      <c r="AC37" s="9" t="s">
        <v>60</v>
      </c>
      <c r="AD37" s="9" t="s">
        <v>60</v>
      </c>
      <c r="AE37" s="9" t="s">
        <v>60</v>
      </c>
      <c r="AF37" s="9" t="s">
        <v>60</v>
      </c>
      <c r="AG37" s="9" t="s">
        <v>322</v>
      </c>
      <c r="AH37" s="9" t="s">
        <v>323</v>
      </c>
      <c r="AI37" s="9" t="s">
        <v>324</v>
      </c>
      <c r="AJ37" s="9" t="s">
        <v>325</v>
      </c>
      <c r="AK37" s="9" t="s">
        <v>326</v>
      </c>
      <c r="AL37" s="9" t="s">
        <v>327</v>
      </c>
      <c r="AM37" s="9" t="s">
        <v>80</v>
      </c>
      <c r="AN37" s="9"/>
      <c r="AO37" s="12">
        <v>174.0</v>
      </c>
      <c r="AP37" s="12">
        <v>23.0</v>
      </c>
      <c r="AQ37" s="12" t="s">
        <v>60</v>
      </c>
      <c r="AR37" s="12" t="s">
        <v>68</v>
      </c>
      <c r="AS37" s="12" t="s">
        <v>69</v>
      </c>
      <c r="AT37" s="12" t="s">
        <v>60</v>
      </c>
    </row>
    <row r="38">
      <c r="A38" s="8">
        <v>3.0</v>
      </c>
      <c r="B38" s="8">
        <v>4.1001101E7</v>
      </c>
      <c r="C38" s="8">
        <v>4185.0</v>
      </c>
      <c r="D38" s="9" t="s">
        <v>328</v>
      </c>
      <c r="E38" s="8" t="str">
        <f t="shared" si="1"/>
        <v>#REF!</v>
      </c>
      <c r="F38" s="9" t="s">
        <v>52</v>
      </c>
      <c r="G38" s="9" t="s">
        <v>53</v>
      </c>
      <c r="H38" s="9" t="s">
        <v>329</v>
      </c>
      <c r="I38" s="9" t="s">
        <v>328</v>
      </c>
      <c r="J38" s="9" t="s">
        <v>109</v>
      </c>
      <c r="K38" s="10" t="s">
        <v>57</v>
      </c>
      <c r="L38" s="8">
        <v>1.0</v>
      </c>
      <c r="M38" s="11" t="s">
        <v>58</v>
      </c>
      <c r="N38" s="9" t="s">
        <v>59</v>
      </c>
      <c r="O38" s="9" t="s">
        <v>60</v>
      </c>
      <c r="P38" s="9" t="s">
        <v>60</v>
      </c>
      <c r="Q38" s="9" t="s">
        <v>60</v>
      </c>
      <c r="R38" s="9" t="s">
        <v>60</v>
      </c>
      <c r="S38" s="9" t="s">
        <v>60</v>
      </c>
      <c r="T38" s="9" t="s">
        <v>60</v>
      </c>
      <c r="U38" s="9" t="s">
        <v>60</v>
      </c>
      <c r="V38" s="9" t="s">
        <v>60</v>
      </c>
      <c r="W38" s="9" t="s">
        <v>60</v>
      </c>
      <c r="X38" s="9" t="s">
        <v>60</v>
      </c>
      <c r="Y38" s="9" t="s">
        <v>60</v>
      </c>
      <c r="Z38" s="9" t="s">
        <v>60</v>
      </c>
      <c r="AA38" s="9" t="s">
        <v>60</v>
      </c>
      <c r="AB38" s="9" t="s">
        <v>60</v>
      </c>
      <c r="AC38" s="9" t="s">
        <v>60</v>
      </c>
      <c r="AD38" s="9" t="s">
        <v>60</v>
      </c>
      <c r="AE38" s="9" t="s">
        <v>60</v>
      </c>
      <c r="AF38" s="9" t="s">
        <v>60</v>
      </c>
      <c r="AG38" s="9" t="s">
        <v>330</v>
      </c>
      <c r="AH38" s="9" t="s">
        <v>331</v>
      </c>
      <c r="AI38" s="9" t="s">
        <v>332</v>
      </c>
      <c r="AJ38" s="9" t="s">
        <v>333</v>
      </c>
      <c r="AK38" s="9" t="s">
        <v>65</v>
      </c>
      <c r="AL38" s="9" t="s">
        <v>334</v>
      </c>
      <c r="AM38" s="9" t="s">
        <v>67</v>
      </c>
      <c r="AN38" s="9"/>
      <c r="AO38" s="12">
        <v>171.0</v>
      </c>
      <c r="AP38" s="12">
        <v>20.0</v>
      </c>
      <c r="AQ38" s="12" t="s">
        <v>60</v>
      </c>
      <c r="AR38" s="12" t="s">
        <v>68</v>
      </c>
      <c r="AS38" s="12" t="s">
        <v>69</v>
      </c>
      <c r="AT38" s="12" t="s">
        <v>60</v>
      </c>
    </row>
    <row r="39">
      <c r="A39" s="8">
        <v>3.0</v>
      </c>
      <c r="B39" s="16">
        <v>4.100303E7</v>
      </c>
      <c r="C39" s="8">
        <v>4186.0</v>
      </c>
      <c r="D39" s="9" t="s">
        <v>335</v>
      </c>
      <c r="E39" s="8" t="str">
        <f t="shared" si="1"/>
        <v>#REF!</v>
      </c>
      <c r="F39" s="9" t="s">
        <v>52</v>
      </c>
      <c r="G39" s="9" t="s">
        <v>53</v>
      </c>
      <c r="H39" s="9" t="s">
        <v>108</v>
      </c>
      <c r="I39" s="9" t="s">
        <v>335</v>
      </c>
      <c r="J39" s="9" t="s">
        <v>176</v>
      </c>
      <c r="K39" s="10" t="s">
        <v>57</v>
      </c>
      <c r="L39" s="8">
        <v>1.0</v>
      </c>
      <c r="M39" s="11" t="s">
        <v>58</v>
      </c>
      <c r="N39" s="9" t="s">
        <v>59</v>
      </c>
      <c r="O39" s="9" t="s">
        <v>60</v>
      </c>
      <c r="P39" s="9" t="s">
        <v>60</v>
      </c>
      <c r="Q39" s="9" t="s">
        <v>60</v>
      </c>
      <c r="R39" s="9" t="s">
        <v>60</v>
      </c>
      <c r="S39" s="9" t="s">
        <v>60</v>
      </c>
      <c r="T39" s="9" t="s">
        <v>60</v>
      </c>
      <c r="U39" s="9" t="s">
        <v>60</v>
      </c>
      <c r="V39" s="9" t="s">
        <v>60</v>
      </c>
      <c r="W39" s="9" t="s">
        <v>60</v>
      </c>
      <c r="X39" s="9" t="s">
        <v>60</v>
      </c>
      <c r="Y39" s="9" t="s">
        <v>60</v>
      </c>
      <c r="Z39" s="9" t="s">
        <v>60</v>
      </c>
      <c r="AA39" s="9" t="s">
        <v>60</v>
      </c>
      <c r="AB39" s="9" t="s">
        <v>60</v>
      </c>
      <c r="AC39" s="9" t="s">
        <v>60</v>
      </c>
      <c r="AD39" s="9" t="s">
        <v>60</v>
      </c>
      <c r="AE39" s="9" t="s">
        <v>60</v>
      </c>
      <c r="AF39" s="9" t="s">
        <v>60</v>
      </c>
      <c r="AG39" s="9" t="s">
        <v>336</v>
      </c>
      <c r="AH39" s="9" t="s">
        <v>337</v>
      </c>
      <c r="AI39" s="9" t="s">
        <v>338</v>
      </c>
      <c r="AJ39" s="9" t="s">
        <v>339</v>
      </c>
      <c r="AK39" s="9" t="s">
        <v>340</v>
      </c>
      <c r="AL39" s="9" t="s">
        <v>341</v>
      </c>
      <c r="AM39" s="9" t="s">
        <v>67</v>
      </c>
      <c r="AN39" s="9"/>
      <c r="AO39" s="12">
        <v>172.0</v>
      </c>
      <c r="AP39" s="12">
        <v>21.0</v>
      </c>
      <c r="AQ39" s="12" t="s">
        <v>60</v>
      </c>
      <c r="AR39" s="12" t="s">
        <v>68</v>
      </c>
      <c r="AS39" s="12" t="s">
        <v>69</v>
      </c>
      <c r="AT39" s="12" t="s">
        <v>60</v>
      </c>
    </row>
    <row r="40">
      <c r="A40" s="8">
        <v>3.0</v>
      </c>
      <c r="B40" s="16">
        <v>4.1003048E7</v>
      </c>
      <c r="C40" s="8">
        <v>4187.0</v>
      </c>
      <c r="D40" s="9" t="s">
        <v>342</v>
      </c>
      <c r="E40" s="8" t="str">
        <f t="shared" si="1"/>
        <v>#REF!</v>
      </c>
      <c r="F40" s="9" t="s">
        <v>52</v>
      </c>
      <c r="G40" s="9" t="s">
        <v>53</v>
      </c>
      <c r="H40" s="9" t="s">
        <v>342</v>
      </c>
      <c r="I40" s="9" t="s">
        <v>343</v>
      </c>
      <c r="J40" s="9" t="s">
        <v>344</v>
      </c>
      <c r="K40" s="10" t="s">
        <v>57</v>
      </c>
      <c r="L40" s="8">
        <v>2.0</v>
      </c>
      <c r="M40" s="11" t="s">
        <v>58</v>
      </c>
      <c r="N40" s="9" t="s">
        <v>59</v>
      </c>
      <c r="O40" s="9" t="s">
        <v>60</v>
      </c>
      <c r="P40" s="9" t="s">
        <v>60</v>
      </c>
      <c r="Q40" s="9" t="s">
        <v>60</v>
      </c>
      <c r="R40" s="9" t="s">
        <v>60</v>
      </c>
      <c r="S40" s="9" t="s">
        <v>60</v>
      </c>
      <c r="T40" s="9" t="s">
        <v>60</v>
      </c>
      <c r="U40" s="9" t="s">
        <v>60</v>
      </c>
      <c r="V40" s="9" t="s">
        <v>60</v>
      </c>
      <c r="W40" s="9" t="s">
        <v>60</v>
      </c>
      <c r="X40" s="9" t="s">
        <v>60</v>
      </c>
      <c r="Y40" s="9" t="s">
        <v>60</v>
      </c>
      <c r="Z40" s="9" t="s">
        <v>60</v>
      </c>
      <c r="AA40" s="9" t="s">
        <v>60</v>
      </c>
      <c r="AB40" s="9" t="s">
        <v>60</v>
      </c>
      <c r="AC40" s="9" t="s">
        <v>60</v>
      </c>
      <c r="AD40" s="9" t="s">
        <v>60</v>
      </c>
      <c r="AE40" s="9"/>
      <c r="AF40" s="9" t="s">
        <v>60</v>
      </c>
      <c r="AG40" s="9" t="s">
        <v>345</v>
      </c>
      <c r="AH40" s="9" t="s">
        <v>346</v>
      </c>
      <c r="AI40" s="9" t="s">
        <v>347</v>
      </c>
      <c r="AJ40" s="9" t="s">
        <v>348</v>
      </c>
      <c r="AK40" s="9" t="s">
        <v>349</v>
      </c>
      <c r="AL40" s="9" t="s">
        <v>350</v>
      </c>
      <c r="AM40" s="9" t="s">
        <v>67</v>
      </c>
      <c r="AN40" s="9"/>
      <c r="AO40" s="12">
        <v>173.0</v>
      </c>
      <c r="AP40" s="12">
        <v>22.0</v>
      </c>
      <c r="AQ40" s="12" t="s">
        <v>60</v>
      </c>
      <c r="AR40" s="12" t="s">
        <v>68</v>
      </c>
      <c r="AS40" s="12" t="s">
        <v>69</v>
      </c>
      <c r="AT40" s="12" t="s">
        <v>60</v>
      </c>
    </row>
    <row r="41">
      <c r="A41" s="8">
        <v>3.0</v>
      </c>
      <c r="B41" s="8">
        <v>4.1001094E7</v>
      </c>
      <c r="C41" s="8">
        <v>4188.0</v>
      </c>
      <c r="D41" s="9" t="s">
        <v>184</v>
      </c>
      <c r="E41" s="8" t="str">
        <f t="shared" si="1"/>
        <v>#REF!</v>
      </c>
      <c r="F41" s="9" t="s">
        <v>71</v>
      </c>
      <c r="G41" s="9" t="s">
        <v>72</v>
      </c>
      <c r="H41" s="9" t="s">
        <v>54</v>
      </c>
      <c r="I41" s="9" t="s">
        <v>184</v>
      </c>
      <c r="J41" s="9" t="s">
        <v>176</v>
      </c>
      <c r="K41" s="10" t="s">
        <v>57</v>
      </c>
      <c r="L41" s="8">
        <v>1.0</v>
      </c>
      <c r="M41" s="11" t="s">
        <v>58</v>
      </c>
      <c r="N41" s="9" t="s">
        <v>59</v>
      </c>
      <c r="O41" s="9" t="s">
        <v>60</v>
      </c>
      <c r="P41" s="9" t="s">
        <v>60</v>
      </c>
      <c r="Q41" s="9" t="s">
        <v>60</v>
      </c>
      <c r="R41" s="9" t="s">
        <v>60</v>
      </c>
      <c r="S41" s="9" t="s">
        <v>60</v>
      </c>
      <c r="T41" s="9" t="s">
        <v>60</v>
      </c>
      <c r="U41" s="9" t="s">
        <v>60</v>
      </c>
      <c r="V41" s="9" t="s">
        <v>60</v>
      </c>
      <c r="W41" s="9" t="s">
        <v>60</v>
      </c>
      <c r="X41" s="9" t="s">
        <v>60</v>
      </c>
      <c r="Y41" s="9" t="s">
        <v>60</v>
      </c>
      <c r="Z41" s="9" t="s">
        <v>60</v>
      </c>
      <c r="AA41" s="9" t="s">
        <v>60</v>
      </c>
      <c r="AB41" s="9" t="s">
        <v>60</v>
      </c>
      <c r="AC41" s="9" t="s">
        <v>60</v>
      </c>
      <c r="AD41" s="9" t="s">
        <v>60</v>
      </c>
      <c r="AE41" s="9"/>
      <c r="AF41" s="9"/>
      <c r="AG41" s="9" t="s">
        <v>351</v>
      </c>
      <c r="AH41" s="9" t="s">
        <v>352</v>
      </c>
      <c r="AI41" s="9" t="s">
        <v>353</v>
      </c>
      <c r="AJ41" s="9" t="s">
        <v>354</v>
      </c>
      <c r="AK41" s="9" t="s">
        <v>355</v>
      </c>
      <c r="AL41" s="9" t="s">
        <v>356</v>
      </c>
      <c r="AM41" s="9" t="s">
        <v>80</v>
      </c>
      <c r="AN41" s="9"/>
      <c r="AO41" s="12">
        <v>263.0</v>
      </c>
      <c r="AP41" s="12">
        <v>24.0</v>
      </c>
      <c r="AQ41" s="12" t="s">
        <v>60</v>
      </c>
      <c r="AR41" s="12" t="s">
        <v>68</v>
      </c>
      <c r="AS41" s="12" t="s">
        <v>69</v>
      </c>
      <c r="AT41" s="12" t="s">
        <v>60</v>
      </c>
    </row>
    <row r="42">
      <c r="A42" s="8">
        <v>3.0</v>
      </c>
      <c r="B42" s="8">
        <v>4.1001099E7</v>
      </c>
      <c r="C42" s="8">
        <v>4189.0</v>
      </c>
      <c r="D42" s="9" t="s">
        <v>357</v>
      </c>
      <c r="E42" s="8" t="str">
        <f t="shared" si="1"/>
        <v>#REF!</v>
      </c>
      <c r="F42" s="9" t="s">
        <v>71</v>
      </c>
      <c r="G42" s="9" t="s">
        <v>72</v>
      </c>
      <c r="H42" s="9" t="s">
        <v>131</v>
      </c>
      <c r="I42" s="9" t="s">
        <v>357</v>
      </c>
      <c r="J42" s="9" t="s">
        <v>85</v>
      </c>
      <c r="K42" s="10" t="s">
        <v>57</v>
      </c>
      <c r="L42" s="8">
        <v>2.0</v>
      </c>
      <c r="M42" s="11" t="s">
        <v>58</v>
      </c>
      <c r="N42" s="9" t="s">
        <v>59</v>
      </c>
      <c r="O42" s="9" t="s">
        <v>60</v>
      </c>
      <c r="P42" s="9" t="s">
        <v>60</v>
      </c>
      <c r="Q42" s="9" t="s">
        <v>60</v>
      </c>
      <c r="R42" s="9" t="s">
        <v>60</v>
      </c>
      <c r="S42" s="9" t="s">
        <v>60</v>
      </c>
      <c r="T42" s="9" t="s">
        <v>60</v>
      </c>
      <c r="U42" s="9" t="s">
        <v>60</v>
      </c>
      <c r="V42" s="9" t="s">
        <v>60</v>
      </c>
      <c r="W42" s="9" t="s">
        <v>60</v>
      </c>
      <c r="X42" s="9" t="s">
        <v>60</v>
      </c>
      <c r="Y42" s="9" t="s">
        <v>60</v>
      </c>
      <c r="Z42" s="9" t="s">
        <v>60</v>
      </c>
      <c r="AA42" s="9" t="s">
        <v>60</v>
      </c>
      <c r="AB42" s="9" t="s">
        <v>60</v>
      </c>
      <c r="AC42" s="9" t="s">
        <v>60</v>
      </c>
      <c r="AD42" s="9" t="s">
        <v>60</v>
      </c>
      <c r="AE42" s="9" t="s">
        <v>60</v>
      </c>
      <c r="AF42" s="9" t="s">
        <v>60</v>
      </c>
      <c r="AG42" s="9" t="s">
        <v>358</v>
      </c>
      <c r="AH42" s="9" t="s">
        <v>359</v>
      </c>
      <c r="AI42" s="9" t="s">
        <v>360</v>
      </c>
      <c r="AJ42" s="9" t="s">
        <v>361</v>
      </c>
      <c r="AK42" s="9" t="s">
        <v>362</v>
      </c>
      <c r="AL42" s="9" t="s">
        <v>363</v>
      </c>
      <c r="AM42" s="9" t="s">
        <v>80</v>
      </c>
      <c r="AN42" s="9"/>
      <c r="AO42" s="12">
        <v>264.0</v>
      </c>
      <c r="AP42" s="12">
        <v>26.0</v>
      </c>
      <c r="AQ42" s="12" t="s">
        <v>60</v>
      </c>
      <c r="AR42" s="12" t="s">
        <v>68</v>
      </c>
      <c r="AS42" s="12" t="s">
        <v>69</v>
      </c>
      <c r="AT42" s="12" t="s">
        <v>60</v>
      </c>
    </row>
    <row r="43">
      <c r="A43" s="8">
        <v>4.0</v>
      </c>
      <c r="B43" s="8">
        <v>4.1003112E7</v>
      </c>
      <c r="C43" s="8">
        <v>4190.0</v>
      </c>
      <c r="D43" s="9" t="s">
        <v>364</v>
      </c>
      <c r="E43" s="8" t="str">
        <f t="shared" si="1"/>
        <v>#REF!</v>
      </c>
      <c r="F43" s="9" t="s">
        <v>52</v>
      </c>
      <c r="G43" s="9" t="s">
        <v>53</v>
      </c>
      <c r="H43" s="9" t="s">
        <v>342</v>
      </c>
      <c r="I43" s="9" t="s">
        <v>364</v>
      </c>
      <c r="J43" s="9" t="s">
        <v>227</v>
      </c>
      <c r="K43" s="10" t="s">
        <v>57</v>
      </c>
      <c r="L43" s="8">
        <v>1.0</v>
      </c>
      <c r="M43" s="11" t="s">
        <v>58</v>
      </c>
      <c r="N43" s="9" t="s">
        <v>59</v>
      </c>
      <c r="O43" s="9" t="s">
        <v>60</v>
      </c>
      <c r="P43" s="9" t="s">
        <v>60</v>
      </c>
      <c r="Q43" s="9" t="s">
        <v>60</v>
      </c>
      <c r="R43" s="9" t="s">
        <v>60</v>
      </c>
      <c r="S43" s="9" t="s">
        <v>60</v>
      </c>
      <c r="T43" s="9" t="s">
        <v>60</v>
      </c>
      <c r="U43" s="9" t="s">
        <v>60</v>
      </c>
      <c r="V43" s="9" t="s">
        <v>60</v>
      </c>
      <c r="W43" s="9" t="s">
        <v>60</v>
      </c>
      <c r="X43" s="9" t="s">
        <v>60</v>
      </c>
      <c r="Y43" s="9" t="s">
        <v>60</v>
      </c>
      <c r="Z43" s="9" t="s">
        <v>60</v>
      </c>
      <c r="AA43" s="9" t="s">
        <v>60</v>
      </c>
      <c r="AB43" s="9" t="s">
        <v>60</v>
      </c>
      <c r="AC43" s="9" t="s">
        <v>60</v>
      </c>
      <c r="AD43" s="9" t="s">
        <v>60</v>
      </c>
      <c r="AE43" s="9" t="s">
        <v>60</v>
      </c>
      <c r="AF43" s="9" t="s">
        <v>60</v>
      </c>
      <c r="AG43" s="9" t="s">
        <v>365</v>
      </c>
      <c r="AH43" s="9" t="s">
        <v>366</v>
      </c>
      <c r="AI43" s="9" t="s">
        <v>367</v>
      </c>
      <c r="AJ43" s="9" t="s">
        <v>368</v>
      </c>
      <c r="AK43" s="9" t="s">
        <v>369</v>
      </c>
      <c r="AL43" s="9" t="s">
        <v>370</v>
      </c>
      <c r="AM43" s="9" t="s">
        <v>67</v>
      </c>
      <c r="AN43" s="9"/>
      <c r="AO43" s="12">
        <v>331.0</v>
      </c>
      <c r="AP43" s="12">
        <v>9028.0</v>
      </c>
      <c r="AQ43" s="12" t="s">
        <v>60</v>
      </c>
      <c r="AR43" s="12" t="s">
        <v>68</v>
      </c>
      <c r="AS43" s="12" t="s">
        <v>69</v>
      </c>
      <c r="AT43" s="12" t="s">
        <v>60</v>
      </c>
    </row>
    <row r="44">
      <c r="A44" s="8">
        <v>4.0</v>
      </c>
      <c r="B44" s="8">
        <v>4.1003115E7</v>
      </c>
      <c r="C44" s="8">
        <v>4191.0</v>
      </c>
      <c r="D44" s="9" t="s">
        <v>371</v>
      </c>
      <c r="E44" s="8" t="str">
        <f t="shared" si="1"/>
        <v>#REF!</v>
      </c>
      <c r="F44" s="9" t="s">
        <v>52</v>
      </c>
      <c r="G44" s="9" t="s">
        <v>53</v>
      </c>
      <c r="H44" s="9" t="s">
        <v>372</v>
      </c>
      <c r="I44" s="9" t="s">
        <v>371</v>
      </c>
      <c r="J44" s="9" t="s">
        <v>85</v>
      </c>
      <c r="K44" s="10" t="s">
        <v>57</v>
      </c>
      <c r="L44" s="8">
        <v>2.0</v>
      </c>
      <c r="M44" s="11" t="s">
        <v>58</v>
      </c>
      <c r="N44" s="9" t="s">
        <v>59</v>
      </c>
      <c r="O44" s="9" t="s">
        <v>60</v>
      </c>
      <c r="P44" s="9" t="s">
        <v>60</v>
      </c>
      <c r="Q44" s="9" t="s">
        <v>60</v>
      </c>
      <c r="R44" s="9" t="s">
        <v>60</v>
      </c>
      <c r="S44" s="9" t="s">
        <v>60</v>
      </c>
      <c r="T44" s="9" t="s">
        <v>60</v>
      </c>
      <c r="U44" s="9" t="s">
        <v>60</v>
      </c>
      <c r="V44" s="9" t="s">
        <v>60</v>
      </c>
      <c r="W44" s="9" t="s">
        <v>60</v>
      </c>
      <c r="X44" s="9" t="s">
        <v>60</v>
      </c>
      <c r="Y44" s="9" t="s">
        <v>60</v>
      </c>
      <c r="Z44" s="9" t="s">
        <v>60</v>
      </c>
      <c r="AA44" s="9" t="s">
        <v>60</v>
      </c>
      <c r="AB44" s="9" t="s">
        <v>60</v>
      </c>
      <c r="AC44" s="9" t="s">
        <v>60</v>
      </c>
      <c r="AD44" s="9" t="s">
        <v>60</v>
      </c>
      <c r="AE44" s="9" t="s">
        <v>60</v>
      </c>
      <c r="AF44" s="9" t="s">
        <v>60</v>
      </c>
      <c r="AG44" s="9" t="s">
        <v>373</v>
      </c>
      <c r="AH44" s="9" t="s">
        <v>374</v>
      </c>
      <c r="AI44" s="9" t="s">
        <v>375</v>
      </c>
      <c r="AJ44" s="9" t="s">
        <v>376</v>
      </c>
      <c r="AK44" s="9" t="s">
        <v>377</v>
      </c>
      <c r="AL44" s="9" t="s">
        <v>378</v>
      </c>
      <c r="AM44" s="9" t="s">
        <v>67</v>
      </c>
      <c r="AN44" s="9"/>
      <c r="AO44" s="12">
        <v>332.0</v>
      </c>
      <c r="AP44" s="12">
        <v>29.0</v>
      </c>
      <c r="AQ44" s="12" t="s">
        <v>60</v>
      </c>
      <c r="AR44" s="12" t="s">
        <v>68</v>
      </c>
      <c r="AS44" s="12" t="s">
        <v>69</v>
      </c>
      <c r="AT44" s="12" t="s">
        <v>60</v>
      </c>
    </row>
    <row r="45">
      <c r="A45" s="8">
        <v>4.0</v>
      </c>
      <c r="B45" s="8">
        <v>4.1003114E7</v>
      </c>
      <c r="C45" s="8">
        <v>4192.0</v>
      </c>
      <c r="D45" s="9" t="s">
        <v>379</v>
      </c>
      <c r="E45" s="8" t="str">
        <f t="shared" si="1"/>
        <v>#REF!</v>
      </c>
      <c r="F45" s="9" t="s">
        <v>71</v>
      </c>
      <c r="G45" s="9" t="s">
        <v>72</v>
      </c>
      <c r="H45" s="9" t="s">
        <v>54</v>
      </c>
      <c r="I45" s="9" t="s">
        <v>379</v>
      </c>
      <c r="J45" s="9" t="s">
        <v>176</v>
      </c>
      <c r="K45" s="10" t="s">
        <v>57</v>
      </c>
      <c r="L45" s="8">
        <v>1.0</v>
      </c>
      <c r="M45" s="11" t="s">
        <v>58</v>
      </c>
      <c r="N45" s="9" t="s">
        <v>59</v>
      </c>
      <c r="O45" s="9" t="s">
        <v>60</v>
      </c>
      <c r="P45" s="9" t="s">
        <v>60</v>
      </c>
      <c r="Q45" s="9" t="s">
        <v>60</v>
      </c>
      <c r="R45" s="9" t="s">
        <v>60</v>
      </c>
      <c r="S45" s="9" t="s">
        <v>60</v>
      </c>
      <c r="T45" s="9" t="s">
        <v>60</v>
      </c>
      <c r="U45" s="9" t="s">
        <v>60</v>
      </c>
      <c r="V45" s="9" t="s">
        <v>60</v>
      </c>
      <c r="W45" s="9" t="s">
        <v>60</v>
      </c>
      <c r="X45" s="9" t="s">
        <v>60</v>
      </c>
      <c r="Y45" s="9" t="s">
        <v>60</v>
      </c>
      <c r="Z45" s="9" t="s">
        <v>60</v>
      </c>
      <c r="AA45" s="9" t="s">
        <v>60</v>
      </c>
      <c r="AB45" s="9" t="s">
        <v>60</v>
      </c>
      <c r="AC45" s="9" t="s">
        <v>60</v>
      </c>
      <c r="AD45" s="9" t="s">
        <v>60</v>
      </c>
      <c r="AE45" s="9" t="s">
        <v>60</v>
      </c>
      <c r="AF45" s="9" t="s">
        <v>60</v>
      </c>
      <c r="AG45" s="9" t="s">
        <v>380</v>
      </c>
      <c r="AH45" s="9" t="s">
        <v>381</v>
      </c>
      <c r="AI45" s="9" t="s">
        <v>382</v>
      </c>
      <c r="AJ45" s="9" t="s">
        <v>383</v>
      </c>
      <c r="AK45" s="9" t="s">
        <v>65</v>
      </c>
      <c r="AL45" s="9"/>
      <c r="AM45" s="9" t="s">
        <v>80</v>
      </c>
      <c r="AN45" s="9"/>
      <c r="AO45" s="12">
        <v>334.0</v>
      </c>
      <c r="AP45" s="12">
        <v>31.0</v>
      </c>
      <c r="AQ45" s="12" t="s">
        <v>60</v>
      </c>
      <c r="AR45" s="12" t="s">
        <v>68</v>
      </c>
      <c r="AS45" s="12" t="s">
        <v>69</v>
      </c>
      <c r="AT45" s="12" t="s">
        <v>60</v>
      </c>
    </row>
    <row r="46">
      <c r="A46" s="8">
        <v>5.0</v>
      </c>
      <c r="B46" s="8">
        <v>4.1001169E7</v>
      </c>
      <c r="C46" s="8">
        <v>4193.0</v>
      </c>
      <c r="D46" s="9" t="s">
        <v>384</v>
      </c>
      <c r="E46" s="8" t="str">
        <f t="shared" si="1"/>
        <v>#REF!</v>
      </c>
      <c r="F46" s="9" t="s">
        <v>71</v>
      </c>
      <c r="G46" s="9" t="s">
        <v>72</v>
      </c>
      <c r="H46" s="9" t="s">
        <v>385</v>
      </c>
      <c r="I46" s="9" t="s">
        <v>384</v>
      </c>
      <c r="J46" s="9" t="s">
        <v>56</v>
      </c>
      <c r="K46" s="10" t="s">
        <v>57</v>
      </c>
      <c r="L46" s="9"/>
      <c r="M46" s="11" t="s">
        <v>58</v>
      </c>
      <c r="N46" s="9" t="s">
        <v>59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 t="s">
        <v>386</v>
      </c>
      <c r="AH46" s="9"/>
      <c r="AI46" s="9" t="s">
        <v>387</v>
      </c>
      <c r="AJ46" s="9" t="s">
        <v>388</v>
      </c>
      <c r="AK46" s="9"/>
      <c r="AL46" s="9"/>
      <c r="AM46" s="9" t="s">
        <v>80</v>
      </c>
      <c r="AN46" s="9"/>
      <c r="AO46" s="12">
        <v>414.0</v>
      </c>
      <c r="AP46" s="12">
        <v>9044.0</v>
      </c>
      <c r="AQ46" s="12" t="s">
        <v>60</v>
      </c>
      <c r="AR46" s="12" t="s">
        <v>69</v>
      </c>
      <c r="AS46" s="12" t="s">
        <v>69</v>
      </c>
      <c r="AT46" s="9"/>
    </row>
    <row r="47">
      <c r="A47" s="8">
        <v>5.0</v>
      </c>
      <c r="B47" s="8">
        <v>4.100117E7</v>
      </c>
      <c r="C47" s="8">
        <v>4194.0</v>
      </c>
      <c r="D47" s="9" t="s">
        <v>389</v>
      </c>
      <c r="E47" s="8" t="str">
        <f t="shared" si="1"/>
        <v>#REF!</v>
      </c>
      <c r="F47" s="9" t="s">
        <v>52</v>
      </c>
      <c r="G47" s="9" t="s">
        <v>53</v>
      </c>
      <c r="H47" s="9" t="s">
        <v>242</v>
      </c>
      <c r="I47" s="9" t="s">
        <v>389</v>
      </c>
      <c r="J47" s="9" t="s">
        <v>56</v>
      </c>
      <c r="K47" s="10" t="s">
        <v>57</v>
      </c>
      <c r="L47" s="9"/>
      <c r="M47" s="11" t="s">
        <v>58</v>
      </c>
      <c r="N47" s="9" t="s">
        <v>59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 t="s">
        <v>390</v>
      </c>
      <c r="AH47" s="9"/>
      <c r="AI47" s="9" t="s">
        <v>391</v>
      </c>
      <c r="AJ47" s="9" t="s">
        <v>392</v>
      </c>
      <c r="AK47" s="9"/>
      <c r="AL47" s="9"/>
      <c r="AM47" s="9" t="s">
        <v>67</v>
      </c>
      <c r="AN47" s="9"/>
      <c r="AO47" s="12">
        <v>415.0</v>
      </c>
      <c r="AP47" s="12">
        <v>9045.0</v>
      </c>
      <c r="AQ47" s="12" t="s">
        <v>60</v>
      </c>
      <c r="AR47" s="12" t="s">
        <v>69</v>
      </c>
      <c r="AS47" s="12" t="s">
        <v>69</v>
      </c>
      <c r="AT47" s="9"/>
    </row>
    <row r="48">
      <c r="A48" s="8">
        <v>5.0</v>
      </c>
      <c r="B48" s="8">
        <v>4.100118E7</v>
      </c>
      <c r="C48" s="8">
        <v>4195.0</v>
      </c>
      <c r="D48" s="9" t="s">
        <v>393</v>
      </c>
      <c r="E48" s="8" t="str">
        <f t="shared" si="1"/>
        <v>#REF!</v>
      </c>
      <c r="F48" s="9" t="s">
        <v>71</v>
      </c>
      <c r="G48" s="9" t="s">
        <v>72</v>
      </c>
      <c r="H48" s="9" t="s">
        <v>131</v>
      </c>
      <c r="I48" s="9" t="s">
        <v>393</v>
      </c>
      <c r="J48" s="9" t="s">
        <v>147</v>
      </c>
      <c r="K48" s="10" t="s">
        <v>57</v>
      </c>
      <c r="L48" s="9"/>
      <c r="M48" s="11" t="s">
        <v>58</v>
      </c>
      <c r="N48" s="9" t="s">
        <v>59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 t="s">
        <v>394</v>
      </c>
      <c r="AH48" s="9"/>
      <c r="AI48" s="9" t="s">
        <v>395</v>
      </c>
      <c r="AJ48" s="9" t="s">
        <v>396</v>
      </c>
      <c r="AK48" s="9"/>
      <c r="AL48" s="9"/>
      <c r="AM48" s="9" t="s">
        <v>80</v>
      </c>
      <c r="AN48" s="9"/>
      <c r="AO48" s="9"/>
      <c r="AP48" s="9" t="s">
        <v>397</v>
      </c>
      <c r="AQ48" s="9"/>
      <c r="AR48" s="9"/>
      <c r="AS48" s="9"/>
      <c r="AT48" s="9"/>
    </row>
  </sheetData>
  <autoFilter ref="$A$1:$AT$4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8.25"/>
    <col customWidth="1" min="3" max="3" width="47.63"/>
    <col customWidth="1" min="4" max="4" width="17.25"/>
    <col customWidth="1" min="5" max="5" width="16.88"/>
    <col customWidth="1" min="6" max="6" width="14.25"/>
    <col customWidth="1" min="7" max="7" width="31.38"/>
    <col customWidth="1" min="8" max="8" width="8.38"/>
    <col customWidth="1" min="9" max="9" width="9.38"/>
  </cols>
  <sheetData>
    <row r="1">
      <c r="A1" s="17" t="s">
        <v>398</v>
      </c>
      <c r="B1" s="17" t="s">
        <v>399</v>
      </c>
      <c r="C1" s="18" t="s">
        <v>400</v>
      </c>
      <c r="D1" s="19" t="s">
        <v>401</v>
      </c>
      <c r="E1" s="18" t="s">
        <v>402</v>
      </c>
      <c r="F1" s="20" t="s">
        <v>403</v>
      </c>
      <c r="G1" s="18" t="s">
        <v>404</v>
      </c>
      <c r="H1" s="18" t="s">
        <v>405</v>
      </c>
      <c r="I1" s="18" t="s">
        <v>406</v>
      </c>
    </row>
    <row r="2">
      <c r="A2" s="21"/>
      <c r="B2" s="22"/>
      <c r="C2" s="22"/>
      <c r="D2" s="22"/>
      <c r="E2" s="22"/>
      <c r="F2" s="23"/>
      <c r="G2" s="24"/>
      <c r="H2" s="2"/>
      <c r="I2" s="25"/>
    </row>
    <row r="3">
      <c r="A3" s="26"/>
      <c r="B3" s="3"/>
      <c r="C3" s="3"/>
      <c r="D3" s="3"/>
      <c r="E3" s="3"/>
      <c r="F3" s="27"/>
      <c r="G3" s="3"/>
      <c r="I3" s="3"/>
    </row>
    <row r="4">
      <c r="A4" s="26"/>
      <c r="B4" s="3"/>
      <c r="C4" s="3"/>
      <c r="D4" s="3"/>
      <c r="E4" s="3"/>
      <c r="F4" s="27"/>
      <c r="G4" s="3"/>
      <c r="I4" s="3"/>
    </row>
    <row r="5">
      <c r="F5" s="2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18.25"/>
    <col customWidth="1" min="3" max="3" width="16.63"/>
    <col customWidth="1" min="4" max="4" width="9.88"/>
    <col customWidth="1" min="5" max="5" width="36.5"/>
    <col customWidth="1" min="6" max="6" width="16.88"/>
    <col customWidth="1" min="7" max="7" width="15.38"/>
    <col customWidth="1" min="8" max="8" width="9.75"/>
    <col customWidth="1" min="9" max="9" width="7.88"/>
    <col customWidth="1" min="10" max="10" width="8.38"/>
    <col customWidth="1" min="11" max="11" width="18.75"/>
    <col customWidth="1" min="12" max="12" width="7.0"/>
    <col customWidth="1" min="13" max="13" width="8.38"/>
    <col customWidth="1" min="14" max="14" width="4.63"/>
    <col customWidth="1" min="15" max="15" width="3.5"/>
    <col customWidth="1" min="16" max="16" width="20.25"/>
    <col customWidth="1" min="17" max="17" width="10.13"/>
    <col customWidth="1" min="18" max="18" width="14.25"/>
    <col customWidth="1" min="19" max="19" width="11.0"/>
    <col customWidth="1" min="20" max="20" width="10.25"/>
    <col customWidth="1" min="21" max="21" width="17.25"/>
    <col customWidth="1" min="22" max="22" width="15.13"/>
    <col customWidth="1" min="23" max="23" width="10.75"/>
  </cols>
  <sheetData>
    <row r="1">
      <c r="A1" s="17" t="s">
        <v>398</v>
      </c>
      <c r="B1" s="17" t="s">
        <v>399</v>
      </c>
      <c r="C1" s="29" t="s">
        <v>401</v>
      </c>
      <c r="D1" s="30" t="s">
        <v>407</v>
      </c>
      <c r="E1" s="30" t="s">
        <v>408</v>
      </c>
      <c r="F1" s="18" t="s">
        <v>402</v>
      </c>
      <c r="G1" s="20" t="s">
        <v>403</v>
      </c>
      <c r="H1" s="18" t="s">
        <v>404</v>
      </c>
      <c r="I1" s="18" t="s">
        <v>405</v>
      </c>
      <c r="J1" s="18" t="s">
        <v>406</v>
      </c>
      <c r="K1" s="30" t="s">
        <v>409</v>
      </c>
      <c r="L1" s="17" t="s">
        <v>410</v>
      </c>
      <c r="M1" s="30" t="s">
        <v>411</v>
      </c>
      <c r="N1" s="30" t="s">
        <v>412</v>
      </c>
      <c r="O1" s="31" t="s">
        <v>413</v>
      </c>
      <c r="P1" s="17" t="s">
        <v>2</v>
      </c>
      <c r="Q1" s="17" t="s">
        <v>0</v>
      </c>
      <c r="R1" s="30" t="s">
        <v>1</v>
      </c>
      <c r="S1" s="32" t="s">
        <v>414</v>
      </c>
      <c r="T1" s="32" t="s">
        <v>8</v>
      </c>
      <c r="U1" s="30" t="s">
        <v>415</v>
      </c>
      <c r="V1" s="30" t="s">
        <v>400</v>
      </c>
      <c r="W1" s="33" t="s">
        <v>416</v>
      </c>
    </row>
    <row r="2">
      <c r="A2" s="26">
        <v>46107.539513888885</v>
      </c>
      <c r="B2" s="3" t="s">
        <v>417</v>
      </c>
      <c r="C2" s="34" t="s">
        <v>418</v>
      </c>
      <c r="D2" s="34" t="s">
        <v>419</v>
      </c>
      <c r="E2" s="3" t="s">
        <v>420</v>
      </c>
      <c r="F2" s="34" t="s">
        <v>421</v>
      </c>
      <c r="G2" s="35">
        <v>46056.0</v>
      </c>
      <c r="H2" s="3" t="s">
        <v>422</v>
      </c>
      <c r="J2" s="36">
        <v>4625725.0</v>
      </c>
      <c r="K2" s="35">
        <v>46066.0</v>
      </c>
      <c r="L2" s="36">
        <v>878888.0</v>
      </c>
      <c r="M2" s="36">
        <v>5504613.0</v>
      </c>
      <c r="N2" s="3">
        <v>3.0</v>
      </c>
      <c r="O2" s="3">
        <v>0.0</v>
      </c>
      <c r="P2" s="3" t="s">
        <v>3</v>
      </c>
      <c r="Q2" s="34" t="s">
        <v>423</v>
      </c>
      <c r="R2" s="34" t="s">
        <v>424</v>
      </c>
      <c r="S2" s="3" t="s">
        <v>425</v>
      </c>
      <c r="T2" s="34" t="s">
        <v>424</v>
      </c>
      <c r="U2" s="34" t="s">
        <v>426</v>
      </c>
      <c r="V2" s="3" t="s">
        <v>427</v>
      </c>
      <c r="W2" s="3" t="b">
        <v>0</v>
      </c>
    </row>
    <row r="3">
      <c r="A3" s="26">
        <v>46107.54587962963</v>
      </c>
      <c r="B3" s="3" t="s">
        <v>417</v>
      </c>
      <c r="C3" s="34" t="s">
        <v>428</v>
      </c>
      <c r="D3" s="34" t="s">
        <v>429</v>
      </c>
      <c r="E3" s="3" t="s">
        <v>430</v>
      </c>
      <c r="F3" s="34" t="s">
        <v>431</v>
      </c>
      <c r="G3" s="35">
        <v>46056.0</v>
      </c>
      <c r="H3" s="3" t="s">
        <v>432</v>
      </c>
      <c r="J3" s="36">
        <v>4625725.0</v>
      </c>
      <c r="K3" s="35">
        <v>46066.0</v>
      </c>
      <c r="L3" s="36">
        <v>878888.0</v>
      </c>
      <c r="M3" s="36">
        <v>5504613.0</v>
      </c>
      <c r="N3" s="3">
        <v>3.0</v>
      </c>
      <c r="O3" s="3">
        <v>0.0</v>
      </c>
      <c r="P3" s="3" t="s">
        <v>3</v>
      </c>
      <c r="Q3" s="34" t="s">
        <v>423</v>
      </c>
      <c r="R3" s="34" t="s">
        <v>424</v>
      </c>
      <c r="S3" s="3" t="s">
        <v>425</v>
      </c>
      <c r="T3" s="34" t="s">
        <v>424</v>
      </c>
      <c r="U3" s="34" t="s">
        <v>433</v>
      </c>
      <c r="V3" s="3" t="s">
        <v>430</v>
      </c>
      <c r="W3" s="3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8.0"/>
  </cols>
  <sheetData>
    <row r="1">
      <c r="A1" s="1" t="s">
        <v>415</v>
      </c>
      <c r="B1" s="37" t="s">
        <v>434</v>
      </c>
    </row>
    <row r="2">
      <c r="A2" s="38">
        <v>4160.0</v>
      </c>
      <c r="B2" s="39" t="s">
        <v>435</v>
      </c>
    </row>
    <row r="3">
      <c r="A3" s="40">
        <v>4160.0</v>
      </c>
      <c r="B3" s="40" t="s">
        <v>160</v>
      </c>
    </row>
    <row r="4">
      <c r="A4" s="40">
        <v>4160.0</v>
      </c>
      <c r="B4" s="40" t="s">
        <v>427</v>
      </c>
    </row>
    <row r="5">
      <c r="A5" s="38">
        <v>4191.0</v>
      </c>
      <c r="B5" s="39" t="s">
        <v>436</v>
      </c>
    </row>
    <row r="6">
      <c r="A6" s="40">
        <v>4191.0</v>
      </c>
      <c r="B6" s="40" t="s">
        <v>437</v>
      </c>
    </row>
    <row r="7">
      <c r="A7" s="40">
        <v>4191.0</v>
      </c>
      <c r="B7" s="40" t="s">
        <v>438</v>
      </c>
    </row>
    <row r="8">
      <c r="A8" s="38">
        <v>4196.0</v>
      </c>
      <c r="B8" s="39" t="s">
        <v>420</v>
      </c>
    </row>
    <row r="9">
      <c r="A9" s="40">
        <v>4196.0</v>
      </c>
      <c r="B9" s="40" t="s">
        <v>439</v>
      </c>
    </row>
    <row r="10">
      <c r="A10" s="40">
        <v>4196.0</v>
      </c>
      <c r="B10" s="40" t="s">
        <v>440</v>
      </c>
    </row>
    <row r="11">
      <c r="A11" s="38">
        <v>4197.0</v>
      </c>
      <c r="B11" s="39" t="s">
        <v>441</v>
      </c>
    </row>
    <row r="12">
      <c r="A12" s="40">
        <v>4197.0</v>
      </c>
      <c r="B12" s="40" t="s">
        <v>442</v>
      </c>
    </row>
    <row r="13">
      <c r="A13" s="40">
        <v>4197.0</v>
      </c>
      <c r="B13" s="40" t="s">
        <v>443</v>
      </c>
    </row>
    <row r="14">
      <c r="A14" s="38">
        <v>4149.0</v>
      </c>
      <c r="B14" s="39" t="s">
        <v>444</v>
      </c>
    </row>
    <row r="15">
      <c r="A15" s="40">
        <v>4149.0</v>
      </c>
      <c r="B15" s="40" t="s">
        <v>81</v>
      </c>
    </row>
    <row r="16">
      <c r="A16" s="40">
        <v>4149.0</v>
      </c>
      <c r="B16" s="40" t="s">
        <v>445</v>
      </c>
    </row>
    <row r="17">
      <c r="A17" s="38">
        <v>4189.0</v>
      </c>
      <c r="B17" s="39" t="s">
        <v>446</v>
      </c>
    </row>
    <row r="18">
      <c r="A18" s="40">
        <v>4189.0</v>
      </c>
      <c r="B18" s="40" t="s">
        <v>357</v>
      </c>
    </row>
    <row r="19">
      <c r="A19" s="40">
        <v>4189.0</v>
      </c>
      <c r="B19" s="40" t="s">
        <v>447</v>
      </c>
    </row>
    <row r="20">
      <c r="A20" s="38">
        <v>4198.0</v>
      </c>
      <c r="B20" s="39" t="s">
        <v>448</v>
      </c>
    </row>
    <row r="21">
      <c r="A21" s="38">
        <v>4198.0</v>
      </c>
      <c r="B21" s="39" t="s">
        <v>449</v>
      </c>
    </row>
    <row r="22">
      <c r="A22" s="40">
        <v>4198.0</v>
      </c>
      <c r="B22" s="40" t="s">
        <v>450</v>
      </c>
    </row>
    <row r="23">
      <c r="A23" s="40">
        <v>4198.0</v>
      </c>
      <c r="B23" s="40" t="s">
        <v>450</v>
      </c>
    </row>
    <row r="24">
      <c r="A24" s="40">
        <v>4198.0</v>
      </c>
      <c r="B24" s="40" t="s">
        <v>451</v>
      </c>
    </row>
    <row r="25">
      <c r="A25" s="40">
        <v>4198.0</v>
      </c>
      <c r="B25" s="40" t="s">
        <v>451</v>
      </c>
    </row>
    <row r="26">
      <c r="A26" s="38">
        <v>9203.0</v>
      </c>
      <c r="B26" s="39" t="s">
        <v>449</v>
      </c>
    </row>
    <row r="27">
      <c r="A27" s="40">
        <v>9203.0</v>
      </c>
      <c r="B27" s="40" t="s">
        <v>452</v>
      </c>
    </row>
    <row r="28">
      <c r="A28" s="40">
        <v>9203.0</v>
      </c>
      <c r="B28" s="40" t="s">
        <v>453</v>
      </c>
    </row>
    <row r="29">
      <c r="A29" s="41">
        <v>4162.0</v>
      </c>
      <c r="B29" s="39" t="s">
        <v>454</v>
      </c>
    </row>
    <row r="30">
      <c r="A30" s="41">
        <v>4162.0</v>
      </c>
      <c r="B30" s="39" t="s">
        <v>449</v>
      </c>
    </row>
    <row r="31">
      <c r="A31" s="42">
        <v>4162.0</v>
      </c>
      <c r="B31" s="40" t="s">
        <v>455</v>
      </c>
    </row>
    <row r="32">
      <c r="A32" s="42">
        <v>4162.0</v>
      </c>
      <c r="B32" s="40" t="s">
        <v>455</v>
      </c>
    </row>
    <row r="33">
      <c r="A33" s="42">
        <v>4162.0</v>
      </c>
      <c r="B33" s="40" t="s">
        <v>456</v>
      </c>
    </row>
    <row r="34">
      <c r="A34" s="42">
        <v>4162.0</v>
      </c>
      <c r="B34" s="40" t="s">
        <v>456</v>
      </c>
    </row>
    <row r="35">
      <c r="A35" s="38">
        <v>4150.0</v>
      </c>
      <c r="B35" s="39" t="s">
        <v>457</v>
      </c>
    </row>
    <row r="36">
      <c r="A36" s="40">
        <v>4150.0</v>
      </c>
      <c r="B36" s="40" t="s">
        <v>458</v>
      </c>
    </row>
    <row r="37">
      <c r="A37" s="40">
        <v>4150.0</v>
      </c>
      <c r="B37" s="40" t="s">
        <v>459</v>
      </c>
    </row>
    <row r="38">
      <c r="A38" s="38">
        <v>4159.0</v>
      </c>
      <c r="B38" s="39" t="s">
        <v>457</v>
      </c>
    </row>
    <row r="39">
      <c r="A39" s="40">
        <v>4159.0</v>
      </c>
      <c r="B39" s="40" t="s">
        <v>460</v>
      </c>
    </row>
    <row r="40">
      <c r="A40" s="40">
        <v>4159.0</v>
      </c>
      <c r="B40" s="40" t="s">
        <v>461</v>
      </c>
    </row>
    <row r="41">
      <c r="A41" s="38">
        <v>4158.0</v>
      </c>
      <c r="B41" s="39" t="s">
        <v>457</v>
      </c>
    </row>
    <row r="42">
      <c r="A42" s="40">
        <v>4158.0</v>
      </c>
      <c r="B42" s="40" t="s">
        <v>151</v>
      </c>
    </row>
    <row r="43">
      <c r="A43" s="40">
        <v>4158.0</v>
      </c>
      <c r="B43" s="40" t="s">
        <v>462</v>
      </c>
    </row>
    <row r="44">
      <c r="A44" s="41">
        <v>4169.0</v>
      </c>
      <c r="B44" s="39" t="s">
        <v>449</v>
      </c>
    </row>
    <row r="45">
      <c r="A45" s="42">
        <v>4169.0</v>
      </c>
      <c r="B45" s="40" t="s">
        <v>218</v>
      </c>
    </row>
    <row r="46">
      <c r="A46" s="42">
        <v>4169.0</v>
      </c>
      <c r="B46" s="40" t="s">
        <v>463</v>
      </c>
    </row>
    <row r="47">
      <c r="A47" s="38">
        <v>4168.0</v>
      </c>
      <c r="B47" s="39" t="s">
        <v>464</v>
      </c>
    </row>
    <row r="48">
      <c r="A48" s="40">
        <v>4168.0</v>
      </c>
      <c r="B48" s="40" t="s">
        <v>210</v>
      </c>
    </row>
    <row r="49">
      <c r="A49" s="40">
        <v>4168.0</v>
      </c>
      <c r="B49" s="40" t="s">
        <v>465</v>
      </c>
    </row>
    <row r="50">
      <c r="A50" s="41">
        <v>4177.0</v>
      </c>
      <c r="B50" s="39" t="s">
        <v>466</v>
      </c>
    </row>
    <row r="51">
      <c r="A51" s="42">
        <v>4177.0</v>
      </c>
      <c r="B51" s="40" t="s">
        <v>467</v>
      </c>
    </row>
    <row r="52">
      <c r="A52" s="42">
        <v>4177.0</v>
      </c>
      <c r="B52" s="40" t="s">
        <v>468</v>
      </c>
    </row>
    <row r="53">
      <c r="A53" s="38">
        <v>4190.0</v>
      </c>
      <c r="B53" s="39" t="s">
        <v>469</v>
      </c>
    </row>
    <row r="54">
      <c r="A54" s="40">
        <v>4190.0</v>
      </c>
      <c r="B54" s="40" t="s">
        <v>364</v>
      </c>
    </row>
    <row r="55">
      <c r="A55" s="40">
        <v>4190.0</v>
      </c>
      <c r="B55" s="40" t="s">
        <v>470</v>
      </c>
    </row>
    <row r="56">
      <c r="A56" s="38">
        <v>4172.0</v>
      </c>
      <c r="B56" s="39" t="s">
        <v>430</v>
      </c>
    </row>
    <row r="57">
      <c r="A57" s="40">
        <v>4172.0</v>
      </c>
      <c r="B57" s="40" t="s">
        <v>471</v>
      </c>
    </row>
    <row r="58">
      <c r="A58" s="40">
        <v>4172.0</v>
      </c>
      <c r="B58" s="40" t="s">
        <v>472</v>
      </c>
    </row>
    <row r="59">
      <c r="A59" s="41">
        <v>4175.0</v>
      </c>
      <c r="B59" s="39" t="s">
        <v>449</v>
      </c>
    </row>
    <row r="60">
      <c r="A60" s="42">
        <v>4175.0</v>
      </c>
      <c r="B60" s="40" t="s">
        <v>473</v>
      </c>
    </row>
    <row r="61">
      <c r="A61" s="42">
        <v>4175.0</v>
      </c>
      <c r="B61" s="40" t="s">
        <v>474</v>
      </c>
    </row>
    <row r="62">
      <c r="A62" s="41">
        <v>4170.0</v>
      </c>
      <c r="B62" s="39" t="s">
        <v>469</v>
      </c>
    </row>
    <row r="63">
      <c r="A63" s="42">
        <v>4170.0</v>
      </c>
      <c r="B63" s="40" t="s">
        <v>475</v>
      </c>
    </row>
    <row r="64">
      <c r="A64" s="42">
        <v>4170.0</v>
      </c>
      <c r="B64" s="40" t="s">
        <v>476</v>
      </c>
    </row>
    <row r="65">
      <c r="A65" s="38">
        <v>4152.0</v>
      </c>
      <c r="B65" s="39" t="s">
        <v>477</v>
      </c>
    </row>
    <row r="66">
      <c r="A66" s="40">
        <v>4152.0</v>
      </c>
      <c r="B66" s="40" t="s">
        <v>478</v>
      </c>
    </row>
    <row r="67">
      <c r="A67" s="40">
        <v>4152.0</v>
      </c>
      <c r="B67" s="40" t="s">
        <v>479</v>
      </c>
    </row>
    <row r="68">
      <c r="A68" s="38">
        <v>4153.0</v>
      </c>
      <c r="B68" s="39" t="s">
        <v>477</v>
      </c>
    </row>
    <row r="69">
      <c r="A69" s="40">
        <v>4153.0</v>
      </c>
      <c r="B69" s="40" t="s">
        <v>116</v>
      </c>
    </row>
    <row r="70">
      <c r="A70" s="40">
        <v>4153.0</v>
      </c>
      <c r="B70" s="40" t="s">
        <v>480</v>
      </c>
    </row>
    <row r="71">
      <c r="A71" s="38">
        <v>4185.0</v>
      </c>
      <c r="B71" s="39" t="s">
        <v>477</v>
      </c>
    </row>
    <row r="72">
      <c r="A72" s="40">
        <v>4185.0</v>
      </c>
      <c r="B72" s="40" t="s">
        <v>481</v>
      </c>
    </row>
    <row r="73">
      <c r="A73" s="40">
        <v>4185.0</v>
      </c>
      <c r="B73" s="40" t="s">
        <v>482</v>
      </c>
    </row>
    <row r="74">
      <c r="A74" s="38">
        <v>4179.0</v>
      </c>
      <c r="B74" s="39" t="s">
        <v>483</v>
      </c>
    </row>
    <row r="75">
      <c r="A75" s="40">
        <v>4179.0</v>
      </c>
      <c r="B75" s="40" t="s">
        <v>484</v>
      </c>
    </row>
    <row r="76">
      <c r="A76" s="40">
        <v>4179.0</v>
      </c>
      <c r="B76" s="40" t="s">
        <v>485</v>
      </c>
    </row>
    <row r="77">
      <c r="A77" s="38">
        <v>4148.0</v>
      </c>
      <c r="B77" s="39" t="s">
        <v>483</v>
      </c>
    </row>
    <row r="78">
      <c r="A78" s="40">
        <v>4148.0</v>
      </c>
      <c r="B78" s="40" t="s">
        <v>486</v>
      </c>
    </row>
    <row r="79">
      <c r="A79" s="40">
        <v>4148.0</v>
      </c>
      <c r="B79" s="40" t="s">
        <v>487</v>
      </c>
    </row>
    <row r="80">
      <c r="A80" s="41">
        <v>4171.0</v>
      </c>
      <c r="B80" s="39" t="s">
        <v>483</v>
      </c>
    </row>
    <row r="81">
      <c r="A81" s="42">
        <v>4171.0</v>
      </c>
      <c r="B81" s="40" t="s">
        <v>488</v>
      </c>
    </row>
    <row r="82">
      <c r="A82" s="42">
        <v>4171.0</v>
      </c>
      <c r="B82" s="40" t="s">
        <v>489</v>
      </c>
    </row>
    <row r="83">
      <c r="A83" s="38">
        <v>4183.0</v>
      </c>
      <c r="B83" s="39" t="s">
        <v>483</v>
      </c>
    </row>
    <row r="84">
      <c r="A84" s="40">
        <v>4183.0</v>
      </c>
      <c r="B84" s="40" t="s">
        <v>490</v>
      </c>
    </row>
    <row r="85">
      <c r="A85" s="40">
        <v>4183.0</v>
      </c>
      <c r="B85" s="40" t="s">
        <v>491</v>
      </c>
    </row>
    <row r="86">
      <c r="A86" s="38">
        <v>4180.0</v>
      </c>
      <c r="B86" s="39" t="s">
        <v>492</v>
      </c>
    </row>
    <row r="87">
      <c r="A87" s="40">
        <v>4180.0</v>
      </c>
      <c r="B87" s="40" t="s">
        <v>493</v>
      </c>
    </row>
    <row r="88">
      <c r="A88" s="40">
        <v>4180.0</v>
      </c>
      <c r="B88" s="40" t="s">
        <v>494</v>
      </c>
    </row>
    <row r="89">
      <c r="A89" s="38">
        <v>4181.0</v>
      </c>
      <c r="B89" s="39" t="s">
        <v>495</v>
      </c>
    </row>
    <row r="90">
      <c r="A90" s="40">
        <v>4181.0</v>
      </c>
      <c r="B90" s="40" t="s">
        <v>496</v>
      </c>
    </row>
    <row r="91">
      <c r="A91" s="40">
        <v>4181.0</v>
      </c>
      <c r="B91" s="40" t="s">
        <v>497</v>
      </c>
    </row>
    <row r="92">
      <c r="A92" s="41">
        <v>4163.0</v>
      </c>
      <c r="B92" s="39" t="s">
        <v>483</v>
      </c>
    </row>
    <row r="93">
      <c r="A93" s="42">
        <v>4163.0</v>
      </c>
      <c r="B93" s="40" t="s">
        <v>498</v>
      </c>
    </row>
    <row r="94">
      <c r="A94" s="42">
        <v>4163.0</v>
      </c>
      <c r="B94" s="40" t="s">
        <v>499</v>
      </c>
    </row>
    <row r="95">
      <c r="A95" s="38">
        <v>4193.0</v>
      </c>
      <c r="B95" s="39" t="s">
        <v>500</v>
      </c>
    </row>
    <row r="96">
      <c r="A96" s="40">
        <v>4193.0</v>
      </c>
      <c r="B96" s="40" t="s">
        <v>501</v>
      </c>
    </row>
    <row r="97">
      <c r="A97" s="40">
        <v>4193.0</v>
      </c>
      <c r="B97" s="40" t="s">
        <v>502</v>
      </c>
    </row>
    <row r="98">
      <c r="A98" s="38">
        <v>4194.0</v>
      </c>
      <c r="B98" s="39" t="s">
        <v>495</v>
      </c>
    </row>
    <row r="99">
      <c r="A99" s="40">
        <v>4194.0</v>
      </c>
      <c r="B99" s="40" t="s">
        <v>503</v>
      </c>
    </row>
    <row r="100">
      <c r="A100" s="40">
        <v>4194.0</v>
      </c>
      <c r="B100" s="40" t="s">
        <v>504</v>
      </c>
    </row>
    <row r="101">
      <c r="A101" s="41">
        <v>4161.0</v>
      </c>
      <c r="B101" s="39" t="s">
        <v>483</v>
      </c>
    </row>
    <row r="102">
      <c r="A102" s="42">
        <v>4161.0</v>
      </c>
      <c r="B102" s="40" t="s">
        <v>505</v>
      </c>
    </row>
    <row r="103">
      <c r="A103" s="42">
        <v>4161.0</v>
      </c>
      <c r="B103" s="40" t="s">
        <v>506</v>
      </c>
    </row>
    <row r="104">
      <c r="A104" s="41">
        <v>4164.0</v>
      </c>
      <c r="B104" s="39" t="s">
        <v>483</v>
      </c>
    </row>
    <row r="105">
      <c r="A105" s="42">
        <v>4164.0</v>
      </c>
      <c r="B105" s="40" t="s">
        <v>507</v>
      </c>
    </row>
    <row r="106">
      <c r="A106" s="42">
        <v>4164.0</v>
      </c>
      <c r="B106" s="40" t="s">
        <v>508</v>
      </c>
    </row>
    <row r="107">
      <c r="A107" s="38">
        <v>4147.0</v>
      </c>
      <c r="B107" s="39" t="s">
        <v>483</v>
      </c>
    </row>
    <row r="108">
      <c r="A108" s="40">
        <v>4147.0</v>
      </c>
      <c r="B108" s="40" t="s">
        <v>509</v>
      </c>
    </row>
    <row r="109">
      <c r="A109" s="40">
        <v>4147.0</v>
      </c>
      <c r="B109" s="40" t="s">
        <v>510</v>
      </c>
    </row>
    <row r="110">
      <c r="A110" s="38">
        <v>4178.0</v>
      </c>
      <c r="B110" s="39" t="s">
        <v>483</v>
      </c>
    </row>
    <row r="111">
      <c r="A111" s="40">
        <v>4178.0</v>
      </c>
      <c r="B111" s="40" t="s">
        <v>511</v>
      </c>
    </row>
    <row r="112">
      <c r="A112" s="40">
        <v>4178.0</v>
      </c>
      <c r="B112" s="40" t="s">
        <v>512</v>
      </c>
    </row>
    <row r="113">
      <c r="A113" s="41">
        <v>4173.0</v>
      </c>
      <c r="B113" s="39" t="s">
        <v>495</v>
      </c>
    </row>
    <row r="114">
      <c r="A114" s="42">
        <v>4173.0</v>
      </c>
      <c r="B114" s="40" t="s">
        <v>513</v>
      </c>
    </row>
    <row r="115">
      <c r="A115" s="42">
        <v>4173.0</v>
      </c>
      <c r="B115" s="40" t="s">
        <v>514</v>
      </c>
    </row>
    <row r="116">
      <c r="A116" s="41">
        <v>4165.0</v>
      </c>
      <c r="B116" s="39" t="s">
        <v>515</v>
      </c>
    </row>
    <row r="117">
      <c r="A117" s="42">
        <v>4165.0</v>
      </c>
      <c r="B117" s="40" t="s">
        <v>516</v>
      </c>
    </row>
    <row r="118">
      <c r="A118" s="42">
        <v>4165.0</v>
      </c>
      <c r="B118" s="40" t="s">
        <v>517</v>
      </c>
    </row>
    <row r="119">
      <c r="A119" s="41">
        <v>4176.0</v>
      </c>
      <c r="B119" s="39" t="s">
        <v>518</v>
      </c>
    </row>
    <row r="120">
      <c r="A120" s="42">
        <v>4176.0</v>
      </c>
      <c r="B120" s="40" t="s">
        <v>264</v>
      </c>
    </row>
    <row r="121">
      <c r="A121" s="42">
        <v>4176.0</v>
      </c>
      <c r="B121" s="40" t="s">
        <v>519</v>
      </c>
    </row>
    <row r="122">
      <c r="A122" s="41">
        <v>4166.0</v>
      </c>
      <c r="B122" s="39" t="s">
        <v>520</v>
      </c>
    </row>
    <row r="123">
      <c r="A123" s="42">
        <v>4166.0</v>
      </c>
      <c r="B123" s="40" t="s">
        <v>85</v>
      </c>
    </row>
    <row r="124">
      <c r="A124" s="42">
        <v>4166.0</v>
      </c>
      <c r="B124" s="40" t="s">
        <v>521</v>
      </c>
    </row>
    <row r="125">
      <c r="A125" s="38">
        <v>4151.0</v>
      </c>
      <c r="B125" s="39" t="s">
        <v>522</v>
      </c>
    </row>
    <row r="126">
      <c r="A126" s="40">
        <v>4151.0</v>
      </c>
      <c r="B126" s="40" t="s">
        <v>523</v>
      </c>
    </row>
    <row r="127">
      <c r="A127" s="40">
        <v>4151.0</v>
      </c>
      <c r="B127" s="40" t="s">
        <v>524</v>
      </c>
    </row>
    <row r="128">
      <c r="A128" s="38">
        <v>4155.0</v>
      </c>
      <c r="B128" s="39" t="s">
        <v>525</v>
      </c>
    </row>
    <row r="129">
      <c r="A129" s="40">
        <v>4155.0</v>
      </c>
      <c r="B129" s="40" t="s">
        <v>132</v>
      </c>
    </row>
    <row r="130">
      <c r="A130" s="40">
        <v>4155.0</v>
      </c>
      <c r="B130" s="40" t="s">
        <v>526</v>
      </c>
    </row>
    <row r="131">
      <c r="A131" s="38">
        <v>4187.0</v>
      </c>
      <c r="B131" s="39" t="s">
        <v>527</v>
      </c>
    </row>
    <row r="132">
      <c r="A132" s="40">
        <v>4187.0</v>
      </c>
      <c r="B132" s="40" t="s">
        <v>528</v>
      </c>
    </row>
    <row r="133">
      <c r="A133" s="40">
        <v>4187.0</v>
      </c>
      <c r="B133" s="40" t="s">
        <v>529</v>
      </c>
    </row>
    <row r="134">
      <c r="A134" s="38">
        <v>4188.0</v>
      </c>
      <c r="B134" s="39" t="s">
        <v>449</v>
      </c>
    </row>
    <row r="135">
      <c r="A135" s="40">
        <v>4188.0</v>
      </c>
      <c r="B135" s="40" t="s">
        <v>530</v>
      </c>
    </row>
    <row r="136">
      <c r="A136" s="40">
        <v>4188.0</v>
      </c>
      <c r="B136" s="40" t="s">
        <v>531</v>
      </c>
    </row>
    <row r="137">
      <c r="A137" s="38">
        <v>4192.0</v>
      </c>
      <c r="B137" s="39" t="s">
        <v>449</v>
      </c>
    </row>
    <row r="138">
      <c r="A138" s="40">
        <v>4192.0</v>
      </c>
      <c r="B138" s="40" t="s">
        <v>532</v>
      </c>
    </row>
    <row r="139">
      <c r="A139" s="40">
        <v>4192.0</v>
      </c>
      <c r="B139" s="40" t="s">
        <v>533</v>
      </c>
    </row>
    <row r="140">
      <c r="A140" s="38">
        <v>4186.0</v>
      </c>
      <c r="B140" s="39" t="s">
        <v>449</v>
      </c>
    </row>
    <row r="141">
      <c r="A141" s="40">
        <v>4186.0</v>
      </c>
      <c r="B141" s="40" t="s">
        <v>534</v>
      </c>
    </row>
    <row r="142">
      <c r="A142" s="40">
        <v>4186.0</v>
      </c>
      <c r="B142" s="40" t="s">
        <v>535</v>
      </c>
    </row>
    <row r="143">
      <c r="A143" s="38">
        <v>4156.0</v>
      </c>
      <c r="B143" s="39" t="s">
        <v>536</v>
      </c>
    </row>
    <row r="144">
      <c r="A144" s="40">
        <v>4156.0</v>
      </c>
      <c r="B144" s="40" t="s">
        <v>537</v>
      </c>
    </row>
    <row r="145">
      <c r="A145" s="40">
        <v>4156.0</v>
      </c>
      <c r="B145" s="40" t="s">
        <v>538</v>
      </c>
    </row>
    <row r="146">
      <c r="A146" s="42">
        <v>4182.0</v>
      </c>
      <c r="B146" s="39" t="s">
        <v>539</v>
      </c>
    </row>
    <row r="147">
      <c r="A147" s="42">
        <v>4182.0</v>
      </c>
      <c r="B147" s="40" t="s">
        <v>540</v>
      </c>
    </row>
    <row r="148">
      <c r="A148" s="42">
        <v>4182.0</v>
      </c>
      <c r="B148" s="40" t="s">
        <v>541</v>
      </c>
    </row>
    <row r="149">
      <c r="A149" s="38">
        <v>4154.0</v>
      </c>
      <c r="B149" s="39" t="s">
        <v>542</v>
      </c>
    </row>
    <row r="150">
      <c r="A150" s="40">
        <v>4154.0</v>
      </c>
      <c r="B150" s="40" t="s">
        <v>543</v>
      </c>
    </row>
    <row r="151">
      <c r="A151" s="40">
        <v>4154.0</v>
      </c>
      <c r="B151" s="40" t="s">
        <v>544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9.13"/>
    <col customWidth="1" min="3" max="3" width="8.38"/>
    <col customWidth="1" min="4" max="4" width="26.38"/>
    <col customWidth="1" min="5" max="5" width="7.5"/>
  </cols>
  <sheetData>
    <row r="1">
      <c r="A1" s="37" t="s">
        <v>415</v>
      </c>
      <c r="B1" s="43" t="s">
        <v>545</v>
      </c>
      <c r="C1" s="43" t="s">
        <v>8</v>
      </c>
      <c r="D1" s="43" t="s">
        <v>546</v>
      </c>
      <c r="E1" s="43" t="s">
        <v>547</v>
      </c>
    </row>
    <row r="2">
      <c r="A2" s="44">
        <v>4160.0</v>
      </c>
      <c r="B2" s="45" t="s">
        <v>427</v>
      </c>
      <c r="C2" s="45">
        <v>4.1001163E7</v>
      </c>
      <c r="D2" s="45" t="s">
        <v>160</v>
      </c>
      <c r="E2" s="45" t="s">
        <v>548</v>
      </c>
    </row>
    <row r="3">
      <c r="A3" s="46">
        <v>4191.0</v>
      </c>
      <c r="B3" s="47" t="s">
        <v>438</v>
      </c>
      <c r="C3" s="47">
        <v>4.1003115E7</v>
      </c>
      <c r="D3" s="47" t="s">
        <v>437</v>
      </c>
      <c r="E3" s="47" t="s">
        <v>549</v>
      </c>
    </row>
    <row r="4">
      <c r="A4" s="44">
        <v>4196.0</v>
      </c>
      <c r="B4" s="45" t="s">
        <v>440</v>
      </c>
      <c r="C4" s="45">
        <v>4.1001189E7</v>
      </c>
      <c r="D4" s="45" t="s">
        <v>439</v>
      </c>
      <c r="E4" s="45" t="s">
        <v>550</v>
      </c>
    </row>
    <row r="5">
      <c r="A5" s="46">
        <v>4197.0</v>
      </c>
      <c r="B5" s="47" t="s">
        <v>443</v>
      </c>
      <c r="C5" s="48">
        <v>4.1001184E7</v>
      </c>
      <c r="D5" s="47" t="s">
        <v>442</v>
      </c>
      <c r="E5" s="47" t="s">
        <v>551</v>
      </c>
    </row>
    <row r="6">
      <c r="A6" s="44">
        <v>4149.0</v>
      </c>
      <c r="B6" s="45" t="s">
        <v>445</v>
      </c>
      <c r="C6" s="45">
        <v>4.1003113E7</v>
      </c>
      <c r="D6" s="45" t="s">
        <v>81</v>
      </c>
      <c r="E6" s="45" t="s">
        <v>552</v>
      </c>
    </row>
    <row r="7">
      <c r="A7" s="46">
        <v>4189.0</v>
      </c>
      <c r="B7" s="47" t="s">
        <v>447</v>
      </c>
      <c r="C7" s="47">
        <v>4.1001099E7</v>
      </c>
      <c r="D7" s="47" t="s">
        <v>357</v>
      </c>
      <c r="E7" s="47" t="s">
        <v>553</v>
      </c>
    </row>
    <row r="8">
      <c r="A8" s="44">
        <v>4198.0</v>
      </c>
      <c r="B8" s="45" t="s">
        <v>451</v>
      </c>
      <c r="C8" s="45">
        <v>4.100119E7</v>
      </c>
      <c r="D8" s="45" t="s">
        <v>450</v>
      </c>
      <c r="E8" s="45" t="s">
        <v>554</v>
      </c>
    </row>
    <row r="9">
      <c r="A9" s="46">
        <v>9203.0</v>
      </c>
      <c r="B9" s="47" t="s">
        <v>453</v>
      </c>
      <c r="C9" s="48">
        <v>4.1001191E7</v>
      </c>
      <c r="D9" s="47" t="s">
        <v>452</v>
      </c>
      <c r="E9" s="47" t="s">
        <v>555</v>
      </c>
    </row>
    <row r="10">
      <c r="A10" s="49">
        <v>4162.0</v>
      </c>
      <c r="B10" s="45" t="s">
        <v>456</v>
      </c>
      <c r="C10" s="45">
        <v>4.1003042E7</v>
      </c>
      <c r="D10" s="45" t="s">
        <v>455</v>
      </c>
      <c r="E10" s="45" t="s">
        <v>556</v>
      </c>
    </row>
    <row r="11">
      <c r="A11" s="46">
        <v>4150.0</v>
      </c>
      <c r="B11" s="47" t="s">
        <v>459</v>
      </c>
      <c r="C11" s="47">
        <v>4.1003116E7</v>
      </c>
      <c r="D11" s="47" t="s">
        <v>458</v>
      </c>
      <c r="E11" s="47" t="s">
        <v>557</v>
      </c>
    </row>
    <row r="12">
      <c r="A12" s="44">
        <v>4159.0</v>
      </c>
      <c r="B12" s="45" t="s">
        <v>461</v>
      </c>
      <c r="C12" s="45">
        <v>4.1001181E7</v>
      </c>
      <c r="D12" s="45" t="s">
        <v>460</v>
      </c>
      <c r="E12" s="45" t="s">
        <v>558</v>
      </c>
    </row>
    <row r="13">
      <c r="A13" s="46">
        <v>4158.0</v>
      </c>
      <c r="B13" s="47" t="s">
        <v>462</v>
      </c>
      <c r="C13" s="47">
        <v>4.1001177E7</v>
      </c>
      <c r="D13" s="47" t="s">
        <v>151</v>
      </c>
      <c r="E13" s="47" t="s">
        <v>559</v>
      </c>
    </row>
    <row r="14">
      <c r="A14" s="49">
        <v>4169.0</v>
      </c>
      <c r="B14" s="45" t="s">
        <v>463</v>
      </c>
      <c r="C14" s="50">
        <v>4.1003017E7</v>
      </c>
      <c r="D14" s="45" t="s">
        <v>218</v>
      </c>
      <c r="E14" s="45" t="s">
        <v>560</v>
      </c>
    </row>
    <row r="15">
      <c r="A15" s="46">
        <v>4168.0</v>
      </c>
      <c r="B15" s="47" t="s">
        <v>465</v>
      </c>
      <c r="C15" s="51">
        <v>4.1003016E7</v>
      </c>
      <c r="D15" s="47" t="s">
        <v>210</v>
      </c>
      <c r="E15" s="47" t="s">
        <v>561</v>
      </c>
    </row>
    <row r="16">
      <c r="A16" s="49">
        <v>4177.0</v>
      </c>
      <c r="B16" s="45" t="s">
        <v>468</v>
      </c>
      <c r="C16" s="45">
        <v>4.1003023E7</v>
      </c>
      <c r="D16" s="45" t="s">
        <v>467</v>
      </c>
      <c r="E16" s="45" t="s">
        <v>562</v>
      </c>
    </row>
    <row r="17">
      <c r="A17" s="46">
        <v>4190.0</v>
      </c>
      <c r="B17" s="47" t="s">
        <v>470</v>
      </c>
      <c r="C17" s="47">
        <v>4.1003112E7</v>
      </c>
      <c r="D17" s="47" t="s">
        <v>364</v>
      </c>
      <c r="E17" s="47" t="s">
        <v>563</v>
      </c>
    </row>
    <row r="18">
      <c r="A18" s="44">
        <v>4172.0</v>
      </c>
      <c r="B18" s="45" t="s">
        <v>472</v>
      </c>
      <c r="C18" s="45">
        <v>4.1003024E7</v>
      </c>
      <c r="D18" s="45" t="s">
        <v>471</v>
      </c>
      <c r="E18" s="45" t="s">
        <v>564</v>
      </c>
    </row>
    <row r="19">
      <c r="A19" s="52">
        <v>4175.0</v>
      </c>
      <c r="B19" s="47" t="s">
        <v>474</v>
      </c>
      <c r="C19" s="51">
        <v>4.100302E7</v>
      </c>
      <c r="D19" s="47" t="s">
        <v>473</v>
      </c>
      <c r="E19" s="47" t="s">
        <v>565</v>
      </c>
    </row>
    <row r="20">
      <c r="A20" s="49">
        <v>4170.0</v>
      </c>
      <c r="B20" s="45" t="s">
        <v>476</v>
      </c>
      <c r="C20" s="45">
        <v>4.1003019E7</v>
      </c>
      <c r="D20" s="45" t="s">
        <v>475</v>
      </c>
      <c r="E20" s="45" t="s">
        <v>566</v>
      </c>
    </row>
    <row r="21">
      <c r="A21" s="46">
        <v>4152.0</v>
      </c>
      <c r="B21" s="47" t="s">
        <v>479</v>
      </c>
      <c r="C21" s="51">
        <v>4.1003117E7</v>
      </c>
      <c r="D21" s="47" t="s">
        <v>478</v>
      </c>
      <c r="E21" s="47" t="s">
        <v>567</v>
      </c>
    </row>
    <row r="22">
      <c r="A22" s="44">
        <v>4153.0</v>
      </c>
      <c r="B22" s="45" t="s">
        <v>480</v>
      </c>
      <c r="C22" s="53">
        <v>4.1001156E7</v>
      </c>
      <c r="D22" s="45" t="s">
        <v>116</v>
      </c>
      <c r="E22" s="45" t="s">
        <v>568</v>
      </c>
    </row>
    <row r="23">
      <c r="A23" s="46">
        <v>4185.0</v>
      </c>
      <c r="B23" s="47" t="s">
        <v>482</v>
      </c>
      <c r="C23" s="51">
        <v>4.1001101E7</v>
      </c>
      <c r="D23" s="47" t="s">
        <v>481</v>
      </c>
      <c r="E23" s="47" t="s">
        <v>569</v>
      </c>
    </row>
    <row r="24">
      <c r="A24" s="44">
        <v>4179.0</v>
      </c>
      <c r="B24" s="45" t="s">
        <v>485</v>
      </c>
      <c r="C24" s="45">
        <v>4.1001097E7</v>
      </c>
      <c r="D24" s="45" t="s">
        <v>484</v>
      </c>
      <c r="E24" s="45" t="s">
        <v>570</v>
      </c>
    </row>
    <row r="25">
      <c r="A25" s="46">
        <v>4148.0</v>
      </c>
      <c r="B25" s="47" t="s">
        <v>487</v>
      </c>
      <c r="C25" s="47">
        <v>4.1001098E7</v>
      </c>
      <c r="D25" s="47" t="s">
        <v>486</v>
      </c>
      <c r="E25" s="47" t="s">
        <v>571</v>
      </c>
    </row>
    <row r="26">
      <c r="A26" s="49">
        <v>4171.0</v>
      </c>
      <c r="B26" s="45" t="s">
        <v>489</v>
      </c>
      <c r="C26" s="45">
        <v>4.1003021E7</v>
      </c>
      <c r="D26" s="45" t="s">
        <v>488</v>
      </c>
      <c r="E26" s="45" t="s">
        <v>572</v>
      </c>
    </row>
    <row r="27">
      <c r="A27" s="46">
        <v>4183.0</v>
      </c>
      <c r="B27" s="47" t="s">
        <v>491</v>
      </c>
      <c r="C27" s="51">
        <v>4.1003029E7</v>
      </c>
      <c r="D27" s="47" t="s">
        <v>490</v>
      </c>
      <c r="E27" s="47" t="s">
        <v>573</v>
      </c>
    </row>
    <row r="28">
      <c r="A28" s="44">
        <v>4180.0</v>
      </c>
      <c r="B28" s="45" t="s">
        <v>494</v>
      </c>
      <c r="C28" s="50">
        <v>4.1003027E7</v>
      </c>
      <c r="D28" s="45" t="s">
        <v>493</v>
      </c>
      <c r="E28" s="45" t="s">
        <v>574</v>
      </c>
    </row>
    <row r="29">
      <c r="A29" s="46">
        <v>4181.0</v>
      </c>
      <c r="B29" s="47" t="s">
        <v>497</v>
      </c>
      <c r="C29" s="51">
        <v>4.1003026E7</v>
      </c>
      <c r="D29" s="47" t="s">
        <v>496</v>
      </c>
      <c r="E29" s="47" t="s">
        <v>575</v>
      </c>
    </row>
    <row r="30">
      <c r="A30" s="49">
        <v>4163.0</v>
      </c>
      <c r="B30" s="45" t="s">
        <v>499</v>
      </c>
      <c r="C30" s="50">
        <v>4.1003008E7</v>
      </c>
      <c r="D30" s="45" t="s">
        <v>498</v>
      </c>
      <c r="E30" s="45" t="s">
        <v>576</v>
      </c>
    </row>
    <row r="31">
      <c r="A31" s="46">
        <v>4193.0</v>
      </c>
      <c r="B31" s="47" t="s">
        <v>502</v>
      </c>
      <c r="C31" s="48">
        <v>4.1001169E7</v>
      </c>
      <c r="D31" s="47" t="s">
        <v>501</v>
      </c>
      <c r="E31" s="47" t="s">
        <v>577</v>
      </c>
    </row>
    <row r="32">
      <c r="A32" s="44">
        <v>4194.0</v>
      </c>
      <c r="B32" s="45" t="s">
        <v>504</v>
      </c>
      <c r="C32" s="54">
        <v>4.100117E7</v>
      </c>
      <c r="D32" s="45" t="s">
        <v>503</v>
      </c>
      <c r="E32" s="45" t="s">
        <v>578</v>
      </c>
    </row>
    <row r="33">
      <c r="A33" s="52">
        <v>4161.0</v>
      </c>
      <c r="B33" s="47" t="s">
        <v>506</v>
      </c>
      <c r="C33" s="51">
        <v>4.1003043E7</v>
      </c>
      <c r="D33" s="47" t="s">
        <v>505</v>
      </c>
      <c r="E33" s="47" t="s">
        <v>579</v>
      </c>
    </row>
    <row r="34">
      <c r="A34" s="49">
        <v>4164.0</v>
      </c>
      <c r="B34" s="45" t="s">
        <v>508</v>
      </c>
      <c r="C34" s="50">
        <v>4.1003009E7</v>
      </c>
      <c r="D34" s="45" t="s">
        <v>507</v>
      </c>
      <c r="E34" s="45" t="s">
        <v>580</v>
      </c>
    </row>
    <row r="35">
      <c r="A35" s="46">
        <v>4147.0</v>
      </c>
      <c r="B35" s="47" t="s">
        <v>510</v>
      </c>
      <c r="C35" s="51">
        <v>4.1001095E7</v>
      </c>
      <c r="D35" s="47" t="s">
        <v>509</v>
      </c>
      <c r="E35" s="47" t="s">
        <v>581</v>
      </c>
    </row>
    <row r="36">
      <c r="A36" s="44">
        <v>4178.0</v>
      </c>
      <c r="B36" s="45" t="s">
        <v>512</v>
      </c>
      <c r="C36" s="50">
        <v>4.1001096E7</v>
      </c>
      <c r="D36" s="45" t="s">
        <v>511</v>
      </c>
      <c r="E36" s="45" t="s">
        <v>582</v>
      </c>
    </row>
    <row r="37">
      <c r="A37" s="52">
        <v>4173.0</v>
      </c>
      <c r="B37" s="47" t="s">
        <v>514</v>
      </c>
      <c r="C37" s="51">
        <v>4.1003022E7</v>
      </c>
      <c r="D37" s="47" t="s">
        <v>513</v>
      </c>
      <c r="E37" s="47" t="s">
        <v>582</v>
      </c>
    </row>
    <row r="38">
      <c r="A38" s="49">
        <v>4165.0</v>
      </c>
      <c r="B38" s="45" t="s">
        <v>517</v>
      </c>
      <c r="C38" s="50">
        <v>4.100301E7</v>
      </c>
      <c r="D38" s="45" t="s">
        <v>516</v>
      </c>
      <c r="E38" s="45" t="s">
        <v>583</v>
      </c>
    </row>
    <row r="39">
      <c r="A39" s="52">
        <v>4176.0</v>
      </c>
      <c r="B39" s="47" t="s">
        <v>519</v>
      </c>
      <c r="C39" s="47">
        <v>4.1003013E7</v>
      </c>
      <c r="D39" s="47" t="s">
        <v>264</v>
      </c>
      <c r="E39" s="47" t="s">
        <v>264</v>
      </c>
    </row>
    <row r="40">
      <c r="A40" s="49">
        <v>4166.0</v>
      </c>
      <c r="B40" s="45" t="s">
        <v>521</v>
      </c>
      <c r="C40" s="45">
        <v>4.1003011E7</v>
      </c>
      <c r="D40" s="45" t="s">
        <v>85</v>
      </c>
      <c r="E40" s="45" t="s">
        <v>584</v>
      </c>
    </row>
    <row r="41">
      <c r="A41" s="46">
        <v>4151.0</v>
      </c>
      <c r="B41" s="47" t="s">
        <v>524</v>
      </c>
      <c r="C41" s="55">
        <v>4.1001152E7</v>
      </c>
      <c r="D41" s="47" t="s">
        <v>523</v>
      </c>
      <c r="E41" s="47" t="s">
        <v>585</v>
      </c>
    </row>
    <row r="42">
      <c r="A42" s="44">
        <v>4155.0</v>
      </c>
      <c r="B42" s="45" t="s">
        <v>526</v>
      </c>
      <c r="C42" s="45">
        <v>4.1001161E7</v>
      </c>
      <c r="D42" s="45" t="s">
        <v>132</v>
      </c>
      <c r="E42" s="45" t="s">
        <v>586</v>
      </c>
    </row>
    <row r="43">
      <c r="A43" s="46">
        <v>4187.0</v>
      </c>
      <c r="B43" s="47" t="s">
        <v>529</v>
      </c>
      <c r="C43" s="47">
        <v>4.1003048E7</v>
      </c>
      <c r="D43" s="47" t="s">
        <v>528</v>
      </c>
      <c r="E43" s="47" t="s">
        <v>587</v>
      </c>
    </row>
    <row r="44">
      <c r="A44" s="44">
        <v>4188.0</v>
      </c>
      <c r="B44" s="45" t="s">
        <v>531</v>
      </c>
      <c r="C44" s="45">
        <v>4.1001094E7</v>
      </c>
      <c r="D44" s="45" t="s">
        <v>530</v>
      </c>
      <c r="E44" s="45" t="s">
        <v>588</v>
      </c>
    </row>
    <row r="45">
      <c r="A45" s="46">
        <v>4192.0</v>
      </c>
      <c r="B45" s="47" t="s">
        <v>533</v>
      </c>
      <c r="C45" s="47">
        <v>4.1003114E7</v>
      </c>
      <c r="D45" s="47" t="s">
        <v>532</v>
      </c>
      <c r="E45" s="47" t="s">
        <v>589</v>
      </c>
    </row>
    <row r="46">
      <c r="A46" s="44">
        <v>4186.0</v>
      </c>
      <c r="B46" s="45" t="s">
        <v>535</v>
      </c>
      <c r="C46" s="45">
        <v>4.100303E7</v>
      </c>
      <c r="D46" s="45" t="s">
        <v>534</v>
      </c>
      <c r="E46" s="45" t="s">
        <v>590</v>
      </c>
    </row>
    <row r="47">
      <c r="A47" s="46">
        <v>4156.0</v>
      </c>
      <c r="B47" s="47" t="s">
        <v>538</v>
      </c>
      <c r="C47" s="47">
        <v>4.1001164E7</v>
      </c>
      <c r="D47" s="47" t="s">
        <v>537</v>
      </c>
      <c r="E47" s="47" t="s">
        <v>591</v>
      </c>
    </row>
    <row r="48">
      <c r="A48" s="56">
        <v>4182.0</v>
      </c>
      <c r="B48" s="45" t="s">
        <v>541</v>
      </c>
      <c r="C48" s="57">
        <v>4.1003028E7</v>
      </c>
      <c r="D48" s="45" t="s">
        <v>540</v>
      </c>
      <c r="E48" s="45" t="s">
        <v>592</v>
      </c>
    </row>
    <row r="49">
      <c r="A49" s="46">
        <v>4154.0</v>
      </c>
      <c r="B49" s="47" t="s">
        <v>544</v>
      </c>
      <c r="C49" s="51">
        <v>4.1003118E7</v>
      </c>
      <c r="D49" s="47" t="s">
        <v>543</v>
      </c>
      <c r="E49" s="47" t="s">
        <v>593</v>
      </c>
    </row>
  </sheetData>
  <autoFilter ref="$A$1:$E$49">
    <sortState ref="A1:E49">
      <sortCondition ref="B1:B49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5.63"/>
    <col customWidth="1" min="3" max="3" width="38.0"/>
    <col customWidth="1" min="4" max="4" width="14.0"/>
  </cols>
  <sheetData>
    <row r="1">
      <c r="A1" s="29" t="s">
        <v>401</v>
      </c>
      <c r="B1" s="58" t="s">
        <v>594</v>
      </c>
      <c r="C1" s="59" t="s">
        <v>408</v>
      </c>
      <c r="D1" s="58" t="s">
        <v>414</v>
      </c>
    </row>
    <row r="2">
      <c r="A2" s="45">
        <v>156747.0</v>
      </c>
      <c r="B2" s="45" t="s">
        <v>595</v>
      </c>
      <c r="C2" s="45" t="s">
        <v>449</v>
      </c>
      <c r="D2" s="60" t="s">
        <v>425</v>
      </c>
    </row>
    <row r="3">
      <c r="A3" s="61">
        <v>815184.0</v>
      </c>
      <c r="B3" s="61" t="s">
        <v>596</v>
      </c>
      <c r="C3" s="61" t="s">
        <v>444</v>
      </c>
      <c r="D3" s="62" t="s">
        <v>425</v>
      </c>
    </row>
    <row r="4">
      <c r="A4" s="45">
        <v>815562.0</v>
      </c>
      <c r="B4" s="45" t="s">
        <v>597</v>
      </c>
      <c r="C4" s="60" t="s">
        <v>598</v>
      </c>
      <c r="D4" s="60" t="s">
        <v>425</v>
      </c>
    </row>
    <row r="5">
      <c r="A5" s="61">
        <v>800839.0</v>
      </c>
      <c r="B5" s="61" t="s">
        <v>599</v>
      </c>
      <c r="C5" s="61" t="s">
        <v>464</v>
      </c>
      <c r="D5" s="62" t="s">
        <v>425</v>
      </c>
    </row>
    <row r="6">
      <c r="A6" s="45">
        <v>821848.0</v>
      </c>
      <c r="B6" s="45" t="s">
        <v>419</v>
      </c>
      <c r="C6" s="45" t="s">
        <v>420</v>
      </c>
      <c r="D6" s="60" t="s">
        <v>425</v>
      </c>
    </row>
    <row r="7">
      <c r="A7" s="61">
        <v>801707.0</v>
      </c>
      <c r="B7" s="61" t="s">
        <v>600</v>
      </c>
      <c r="C7" s="61" t="s">
        <v>448</v>
      </c>
      <c r="D7" s="62" t="s">
        <v>425</v>
      </c>
    </row>
    <row r="8">
      <c r="A8" s="45">
        <v>143255.0</v>
      </c>
      <c r="B8" s="45" t="s">
        <v>601</v>
      </c>
      <c r="C8" s="45" t="s">
        <v>454</v>
      </c>
      <c r="D8" s="60" t="s">
        <v>425</v>
      </c>
    </row>
    <row r="9">
      <c r="A9" s="61">
        <v>154155.0</v>
      </c>
      <c r="B9" s="61" t="s">
        <v>602</v>
      </c>
      <c r="C9" s="61" t="s">
        <v>457</v>
      </c>
      <c r="D9" s="62" t="s">
        <v>425</v>
      </c>
    </row>
    <row r="10">
      <c r="A10" s="45">
        <v>813536.0</v>
      </c>
      <c r="B10" s="45" t="s">
        <v>603</v>
      </c>
      <c r="C10" s="45" t="s">
        <v>446</v>
      </c>
      <c r="D10" s="60" t="s">
        <v>425</v>
      </c>
    </row>
    <row r="11">
      <c r="A11" s="61">
        <v>816644.0</v>
      </c>
      <c r="B11" s="61" t="s">
        <v>604</v>
      </c>
      <c r="C11" s="61" t="s">
        <v>525</v>
      </c>
      <c r="D11" s="62" t="s">
        <v>425</v>
      </c>
    </row>
    <row r="12">
      <c r="A12" s="45">
        <v>808766.0</v>
      </c>
      <c r="B12" s="45" t="s">
        <v>605</v>
      </c>
      <c r="C12" s="45" t="s">
        <v>539</v>
      </c>
      <c r="D12" s="60" t="s">
        <v>425</v>
      </c>
    </row>
    <row r="13">
      <c r="A13" s="61">
        <v>820941.0</v>
      </c>
      <c r="B13" s="61" t="s">
        <v>606</v>
      </c>
      <c r="C13" s="61" t="s">
        <v>500</v>
      </c>
      <c r="D13" s="62" t="s">
        <v>425</v>
      </c>
    </row>
    <row r="14">
      <c r="A14" s="45">
        <v>801936.0</v>
      </c>
      <c r="B14" s="45" t="s">
        <v>607</v>
      </c>
      <c r="C14" s="60" t="s">
        <v>608</v>
      </c>
      <c r="D14" s="60" t="s">
        <v>425</v>
      </c>
    </row>
    <row r="15">
      <c r="A15" s="61">
        <v>809145.0</v>
      </c>
      <c r="B15" s="61" t="s">
        <v>609</v>
      </c>
      <c r="C15" s="61" t="s">
        <v>477</v>
      </c>
      <c r="D15" s="62" t="s">
        <v>425</v>
      </c>
    </row>
    <row r="16">
      <c r="A16" s="45">
        <v>818541.0</v>
      </c>
      <c r="B16" s="45" t="s">
        <v>610</v>
      </c>
      <c r="C16" s="45" t="s">
        <v>536</v>
      </c>
      <c r="D16" s="60" t="s">
        <v>425</v>
      </c>
    </row>
    <row r="17">
      <c r="A17" s="61">
        <v>808291.0</v>
      </c>
      <c r="B17" s="61" t="s">
        <v>429</v>
      </c>
      <c r="C17" s="61" t="s">
        <v>430</v>
      </c>
      <c r="D17" s="62" t="s">
        <v>425</v>
      </c>
    </row>
    <row r="18">
      <c r="A18" s="45">
        <v>816449.0</v>
      </c>
      <c r="B18" s="45" t="s">
        <v>611</v>
      </c>
      <c r="C18" s="45" t="s">
        <v>522</v>
      </c>
      <c r="D18" s="60" t="s">
        <v>425</v>
      </c>
    </row>
    <row r="19">
      <c r="A19" s="61">
        <v>807784.0</v>
      </c>
      <c r="B19" s="61" t="s">
        <v>612</v>
      </c>
      <c r="C19" s="61" t="s">
        <v>466</v>
      </c>
      <c r="D19" s="62" t="s">
        <v>425</v>
      </c>
    </row>
    <row r="20">
      <c r="A20" s="45">
        <v>801100.0</v>
      </c>
      <c r="B20" s="45" t="s">
        <v>613</v>
      </c>
      <c r="C20" s="45" t="s">
        <v>520</v>
      </c>
      <c r="D20" s="60" t="s">
        <v>425</v>
      </c>
    </row>
    <row r="21">
      <c r="A21" s="61">
        <v>813656.0</v>
      </c>
      <c r="B21" s="61" t="s">
        <v>614</v>
      </c>
      <c r="C21" s="61" t="s">
        <v>492</v>
      </c>
      <c r="D21" s="62" t="s">
        <v>425</v>
      </c>
    </row>
    <row r="22">
      <c r="A22" s="45">
        <v>810647.0</v>
      </c>
      <c r="B22" s="45" t="s">
        <v>615</v>
      </c>
      <c r="C22" s="60" t="s">
        <v>616</v>
      </c>
      <c r="D22" s="60" t="s">
        <v>425</v>
      </c>
    </row>
    <row r="23">
      <c r="A23" s="61">
        <v>813426.0</v>
      </c>
      <c r="B23" s="61" t="s">
        <v>617</v>
      </c>
      <c r="C23" s="61" t="s">
        <v>527</v>
      </c>
      <c r="D23" s="62" t="s">
        <v>425</v>
      </c>
    </row>
    <row r="24">
      <c r="A24" s="45">
        <v>800812.0</v>
      </c>
      <c r="B24" s="45" t="s">
        <v>618</v>
      </c>
      <c r="C24" s="45" t="s">
        <v>483</v>
      </c>
      <c r="D24" s="60" t="s">
        <v>425</v>
      </c>
    </row>
    <row r="25">
      <c r="A25" s="61">
        <v>802142.0</v>
      </c>
      <c r="B25" s="61" t="s">
        <v>619</v>
      </c>
      <c r="C25" s="61" t="s">
        <v>515</v>
      </c>
      <c r="D25" s="62" t="s">
        <v>425</v>
      </c>
    </row>
    <row r="26">
      <c r="A26" s="45">
        <v>820859.0</v>
      </c>
      <c r="B26" s="45" t="s">
        <v>620</v>
      </c>
      <c r="C26" s="45" t="s">
        <v>435</v>
      </c>
      <c r="D26" s="60" t="s">
        <v>425</v>
      </c>
    </row>
    <row r="27">
      <c r="A27" s="61">
        <v>817165.0</v>
      </c>
      <c r="B27" s="61" t="s">
        <v>621</v>
      </c>
      <c r="C27" s="61" t="s">
        <v>542</v>
      </c>
      <c r="D27" s="62" t="s">
        <v>425</v>
      </c>
    </row>
    <row r="28">
      <c r="A28" s="45">
        <v>803668.0</v>
      </c>
      <c r="B28" s="45" t="s">
        <v>622</v>
      </c>
      <c r="C28" s="45" t="s">
        <v>518</v>
      </c>
      <c r="D28" s="60" t="s">
        <v>425</v>
      </c>
    </row>
    <row r="29">
      <c r="A29" s="61">
        <v>821697.0</v>
      </c>
      <c r="B29" s="61" t="s">
        <v>623</v>
      </c>
      <c r="C29" s="61" t="s">
        <v>441</v>
      </c>
      <c r="D29" s="62" t="s">
        <v>425</v>
      </c>
    </row>
  </sheetData>
  <autoFilter ref="$A$1:$D$29">
    <sortState ref="A1:D29">
      <sortCondition ref="C1:C29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.63"/>
  </cols>
  <sheetData>
    <row r="1">
      <c r="A1" s="63" t="s">
        <v>415</v>
      </c>
      <c r="B1" s="29" t="s">
        <v>401</v>
      </c>
    </row>
    <row r="2">
      <c r="A2" s="42">
        <v>4169.0</v>
      </c>
      <c r="B2" s="40">
        <v>156747.0</v>
      </c>
    </row>
    <row r="3">
      <c r="A3" s="40">
        <v>4198.0</v>
      </c>
      <c r="B3" s="40">
        <v>156747.0</v>
      </c>
    </row>
    <row r="4">
      <c r="A4" s="42">
        <v>4162.0</v>
      </c>
      <c r="B4" s="40">
        <v>156747.0</v>
      </c>
    </row>
    <row r="5">
      <c r="A5" s="42">
        <v>4175.0</v>
      </c>
      <c r="B5" s="40">
        <v>156747.0</v>
      </c>
    </row>
    <row r="6">
      <c r="A6" s="40">
        <v>9203.0</v>
      </c>
      <c r="B6" s="40">
        <v>156747.0</v>
      </c>
    </row>
    <row r="7">
      <c r="A7" s="40">
        <v>4188.0</v>
      </c>
      <c r="B7" s="40">
        <v>156747.0</v>
      </c>
    </row>
    <row r="8">
      <c r="A8" s="40">
        <v>4192.0</v>
      </c>
      <c r="B8" s="40">
        <v>156747.0</v>
      </c>
    </row>
    <row r="9">
      <c r="A9" s="40">
        <v>4186.0</v>
      </c>
      <c r="B9" s="40">
        <v>156747.0</v>
      </c>
    </row>
    <row r="10">
      <c r="A10" s="40">
        <v>4149.0</v>
      </c>
      <c r="B10" s="40">
        <v>815184.0</v>
      </c>
    </row>
    <row r="11">
      <c r="A11" s="40">
        <v>4191.0</v>
      </c>
      <c r="B11" s="40">
        <v>815562.0</v>
      </c>
    </row>
    <row r="12">
      <c r="A12" s="40">
        <v>4168.0</v>
      </c>
      <c r="B12" s="40">
        <v>800839.0</v>
      </c>
    </row>
    <row r="13">
      <c r="A13" s="40">
        <v>4196.0</v>
      </c>
      <c r="B13" s="40">
        <v>821848.0</v>
      </c>
    </row>
    <row r="14">
      <c r="A14" s="40">
        <v>4198.0</v>
      </c>
      <c r="B14" s="40">
        <v>801707.0</v>
      </c>
    </row>
    <row r="15">
      <c r="A15" s="42">
        <v>4162.0</v>
      </c>
      <c r="B15" s="40">
        <v>143255.0</v>
      </c>
    </row>
    <row r="16">
      <c r="A16" s="40">
        <v>4150.0</v>
      </c>
      <c r="B16" s="40">
        <v>154155.0</v>
      </c>
    </row>
    <row r="17">
      <c r="A17" s="40">
        <v>4159.0</v>
      </c>
      <c r="B17" s="40">
        <v>154155.0</v>
      </c>
    </row>
    <row r="18">
      <c r="A18" s="40">
        <v>4158.0</v>
      </c>
      <c r="B18" s="40">
        <v>154155.0</v>
      </c>
    </row>
    <row r="19">
      <c r="A19" s="40">
        <v>4189.0</v>
      </c>
      <c r="B19" s="40">
        <v>813536.0</v>
      </c>
    </row>
    <row r="20">
      <c r="A20" s="40">
        <v>4155.0</v>
      </c>
      <c r="B20" s="40">
        <v>816644.0</v>
      </c>
    </row>
    <row r="21">
      <c r="A21" s="42">
        <v>4182.0</v>
      </c>
      <c r="B21" s="40">
        <v>808766.0</v>
      </c>
    </row>
    <row r="22">
      <c r="A22" s="40">
        <v>4193.0</v>
      </c>
      <c r="B22" s="40">
        <v>820941.0</v>
      </c>
    </row>
    <row r="23">
      <c r="A23" s="40">
        <v>4190.0</v>
      </c>
      <c r="B23" s="40">
        <v>801936.0</v>
      </c>
    </row>
    <row r="24">
      <c r="A24" s="42">
        <v>4170.0</v>
      </c>
      <c r="B24" s="40">
        <v>801936.0</v>
      </c>
    </row>
    <row r="25">
      <c r="A25" s="40">
        <v>4152.0</v>
      </c>
      <c r="B25" s="40">
        <v>809145.0</v>
      </c>
    </row>
    <row r="26">
      <c r="A26" s="40">
        <v>4185.0</v>
      </c>
      <c r="B26" s="40">
        <v>809145.0</v>
      </c>
    </row>
    <row r="27">
      <c r="A27" s="40">
        <v>4153.0</v>
      </c>
      <c r="B27" s="40">
        <v>809145.0</v>
      </c>
    </row>
    <row r="28">
      <c r="A28" s="40">
        <v>4156.0</v>
      </c>
      <c r="B28" s="40">
        <v>818541.0</v>
      </c>
    </row>
    <row r="29">
      <c r="A29" s="40">
        <v>4172.0</v>
      </c>
      <c r="B29" s="40">
        <v>808291.0</v>
      </c>
    </row>
    <row r="30">
      <c r="A30" s="40">
        <v>4151.0</v>
      </c>
      <c r="B30" s="40">
        <v>816449.0</v>
      </c>
    </row>
    <row r="31">
      <c r="A31" s="42">
        <v>4177.0</v>
      </c>
      <c r="B31" s="40">
        <v>807784.0</v>
      </c>
    </row>
    <row r="32">
      <c r="A32" s="42">
        <v>4166.0</v>
      </c>
      <c r="B32" s="40">
        <v>801100.0</v>
      </c>
    </row>
    <row r="33">
      <c r="A33" s="40">
        <v>4180.0</v>
      </c>
      <c r="B33" s="40">
        <v>813656.0</v>
      </c>
    </row>
    <row r="34">
      <c r="A34" s="40">
        <v>4181.0</v>
      </c>
      <c r="B34" s="40">
        <v>810647.0</v>
      </c>
    </row>
    <row r="35">
      <c r="A35" s="40">
        <v>4194.0</v>
      </c>
      <c r="B35" s="40">
        <v>810647.0</v>
      </c>
    </row>
    <row r="36">
      <c r="A36" s="42">
        <v>4173.0</v>
      </c>
      <c r="B36" s="40">
        <v>810647.0</v>
      </c>
    </row>
    <row r="37">
      <c r="A37" s="40">
        <v>4187.0</v>
      </c>
      <c r="B37" s="40">
        <v>813426.0</v>
      </c>
    </row>
    <row r="38">
      <c r="A38" s="40">
        <v>4183.0</v>
      </c>
      <c r="B38" s="40">
        <v>800812.0</v>
      </c>
    </row>
    <row r="39">
      <c r="A39" s="40">
        <v>4179.0</v>
      </c>
      <c r="B39" s="40">
        <v>800812.0</v>
      </c>
    </row>
    <row r="40">
      <c r="A40" s="40">
        <v>4148.0</v>
      </c>
      <c r="B40" s="40">
        <v>800812.0</v>
      </c>
    </row>
    <row r="41">
      <c r="A41" s="42">
        <v>4163.0</v>
      </c>
      <c r="B41" s="40">
        <v>800812.0</v>
      </c>
    </row>
    <row r="42">
      <c r="A42" s="42">
        <v>4161.0</v>
      </c>
      <c r="B42" s="40">
        <v>800812.0</v>
      </c>
    </row>
    <row r="43">
      <c r="A43" s="42">
        <v>4164.0</v>
      </c>
      <c r="B43" s="40">
        <v>800812.0</v>
      </c>
    </row>
    <row r="44">
      <c r="A44" s="42">
        <v>4171.0</v>
      </c>
      <c r="B44" s="40">
        <v>800812.0</v>
      </c>
    </row>
    <row r="45">
      <c r="A45" s="40">
        <v>4147.0</v>
      </c>
      <c r="B45" s="40">
        <v>800812.0</v>
      </c>
    </row>
    <row r="46">
      <c r="A46" s="40">
        <v>4178.0</v>
      </c>
      <c r="B46" s="40">
        <v>800812.0</v>
      </c>
    </row>
    <row r="47">
      <c r="A47" s="42">
        <v>4165.0</v>
      </c>
      <c r="B47" s="40">
        <v>802142.0</v>
      </c>
    </row>
    <row r="48">
      <c r="A48" s="40">
        <v>4160.0</v>
      </c>
      <c r="B48" s="40">
        <v>820859.0</v>
      </c>
    </row>
    <row r="49">
      <c r="A49" s="40">
        <v>4154.0</v>
      </c>
      <c r="B49" s="40">
        <v>817165.0</v>
      </c>
    </row>
    <row r="50">
      <c r="A50" s="42">
        <v>4176.0</v>
      </c>
      <c r="B50" s="40">
        <v>803668.0</v>
      </c>
    </row>
    <row r="51">
      <c r="A51" s="40">
        <v>4197.0</v>
      </c>
      <c r="B51" s="40">
        <v>821697.0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1.38"/>
    <col customWidth="1" min="3" max="6" width="26.38"/>
  </cols>
  <sheetData>
    <row r="1">
      <c r="A1" s="29" t="s">
        <v>401</v>
      </c>
      <c r="B1" s="64" t="s">
        <v>404</v>
      </c>
      <c r="C1" s="64" t="s">
        <v>624</v>
      </c>
      <c r="D1" s="65" t="s">
        <v>625</v>
      </c>
      <c r="E1" s="65" t="s">
        <v>626</v>
      </c>
      <c r="F1" s="65" t="s">
        <v>627</v>
      </c>
    </row>
    <row r="2">
      <c r="A2" s="38">
        <v>820859.0</v>
      </c>
      <c r="B2" s="39" t="s">
        <v>422</v>
      </c>
      <c r="C2" s="39" t="s">
        <v>160</v>
      </c>
      <c r="D2" s="4" t="str">
        <f t="shared" ref="D2:D90" si="1">A2&amp;B2</f>
        <v>820859ARRIENDO</v>
      </c>
      <c r="E2" s="4">
        <v>3.305012006E9</v>
      </c>
      <c r="F2" s="4">
        <v>5.0302002E7</v>
      </c>
    </row>
    <row r="3">
      <c r="A3" s="38">
        <v>156747.0</v>
      </c>
      <c r="B3" s="39" t="s">
        <v>628</v>
      </c>
      <c r="C3" s="39" t="s">
        <v>218</v>
      </c>
      <c r="D3" s="4" t="str">
        <f t="shared" si="1"/>
        <v>156747GASTO COMUN</v>
      </c>
      <c r="E3" s="4">
        <v>3.305012006E9</v>
      </c>
      <c r="F3" s="4">
        <v>5.0302002E7</v>
      </c>
    </row>
    <row r="4">
      <c r="A4" s="38">
        <v>821697.0</v>
      </c>
      <c r="B4" s="39" t="s">
        <v>422</v>
      </c>
      <c r="C4" s="39" t="s">
        <v>442</v>
      </c>
      <c r="D4" s="4" t="str">
        <f t="shared" si="1"/>
        <v>821697ARRIENDO</v>
      </c>
      <c r="E4" s="4">
        <v>3.305012006E9</v>
      </c>
      <c r="F4" s="4">
        <v>5.0302002E7</v>
      </c>
    </row>
    <row r="5">
      <c r="A5" s="38">
        <v>821697.0</v>
      </c>
      <c r="B5" s="39" t="s">
        <v>629</v>
      </c>
      <c r="C5" s="39" t="s">
        <v>442</v>
      </c>
      <c r="D5" s="4" t="str">
        <f t="shared" si="1"/>
        <v>821697ELECTRICIDAD</v>
      </c>
      <c r="E5" s="4">
        <v>3.305012006E9</v>
      </c>
      <c r="F5" s="4">
        <v>5.0302002E7</v>
      </c>
    </row>
    <row r="6">
      <c r="A6" s="38">
        <v>815562.0</v>
      </c>
      <c r="B6" s="39" t="s">
        <v>422</v>
      </c>
      <c r="C6" s="39" t="s">
        <v>437</v>
      </c>
      <c r="D6" s="4" t="str">
        <f t="shared" si="1"/>
        <v>815562ARRIENDO</v>
      </c>
      <c r="E6" s="4">
        <v>3.305012006E9</v>
      </c>
      <c r="F6" s="4">
        <v>5.0302002E7</v>
      </c>
    </row>
    <row r="7">
      <c r="A7" s="38">
        <v>815562.0</v>
      </c>
      <c r="B7" s="39" t="s">
        <v>629</v>
      </c>
      <c r="C7" s="39" t="s">
        <v>437</v>
      </c>
      <c r="D7" s="4" t="str">
        <f t="shared" si="1"/>
        <v>815562ELECTRICIDAD</v>
      </c>
      <c r="E7" s="4">
        <v>3.305012006E9</v>
      </c>
      <c r="F7" s="4">
        <v>5.0302002E7</v>
      </c>
    </row>
    <row r="8">
      <c r="A8" s="38">
        <v>821848.0</v>
      </c>
      <c r="B8" s="39" t="s">
        <v>422</v>
      </c>
      <c r="C8" s="39" t="s">
        <v>439</v>
      </c>
      <c r="D8" s="4" t="str">
        <f t="shared" si="1"/>
        <v>821848ARRIENDO</v>
      </c>
      <c r="E8" s="4">
        <v>3.305012006E9</v>
      </c>
      <c r="F8" s="4">
        <v>5.0302002E7</v>
      </c>
    </row>
    <row r="9">
      <c r="A9" s="38">
        <v>821848.0</v>
      </c>
      <c r="B9" s="39" t="s">
        <v>629</v>
      </c>
      <c r="C9" s="39" t="s">
        <v>439</v>
      </c>
      <c r="D9" s="4" t="str">
        <f t="shared" si="1"/>
        <v>821848ELECTRICIDAD</v>
      </c>
      <c r="E9" s="4">
        <v>3.305012006E9</v>
      </c>
      <c r="F9" s="4">
        <v>5.0302002E7</v>
      </c>
    </row>
    <row r="10">
      <c r="A10" s="38">
        <v>800839.0</v>
      </c>
      <c r="B10" s="39" t="s">
        <v>422</v>
      </c>
      <c r="C10" s="39" t="s">
        <v>210</v>
      </c>
      <c r="D10" s="4" t="str">
        <f t="shared" si="1"/>
        <v>800839ARRIENDO</v>
      </c>
      <c r="E10" s="4">
        <v>3.305012006E9</v>
      </c>
      <c r="F10" s="4">
        <v>5.0302002E7</v>
      </c>
    </row>
    <row r="11">
      <c r="A11" s="38">
        <v>800839.0</v>
      </c>
      <c r="B11" s="39" t="s">
        <v>630</v>
      </c>
      <c r="C11" s="39" t="s">
        <v>210</v>
      </c>
      <c r="D11" s="4" t="str">
        <f t="shared" si="1"/>
        <v>800839ARRIENDO VARIABLE, ELECTRICIDAD</v>
      </c>
      <c r="E11" s="4">
        <v>3.305012006E9</v>
      </c>
      <c r="F11" s="4">
        <v>5.0302002E7</v>
      </c>
    </row>
    <row r="12">
      <c r="A12" s="38">
        <v>815184.0</v>
      </c>
      <c r="B12" s="39" t="s">
        <v>422</v>
      </c>
      <c r="C12" s="39" t="s">
        <v>81</v>
      </c>
      <c r="D12" s="4" t="str">
        <f t="shared" si="1"/>
        <v>815184ARRIENDO</v>
      </c>
      <c r="E12" s="4">
        <v>3.305012006E9</v>
      </c>
      <c r="F12" s="4">
        <v>5.0302002E7</v>
      </c>
    </row>
    <row r="13">
      <c r="A13" s="38">
        <v>815184.0</v>
      </c>
      <c r="B13" s="39" t="s">
        <v>629</v>
      </c>
      <c r="C13" s="39" t="s">
        <v>81</v>
      </c>
      <c r="D13" s="4" t="str">
        <f t="shared" si="1"/>
        <v>815184ELECTRICIDAD</v>
      </c>
      <c r="E13" s="4">
        <v>3.305012006E9</v>
      </c>
      <c r="F13" s="4">
        <v>5.0302002E7</v>
      </c>
    </row>
    <row r="14">
      <c r="A14" s="38">
        <v>156747.0</v>
      </c>
      <c r="B14" s="39" t="s">
        <v>628</v>
      </c>
      <c r="C14" s="39" t="s">
        <v>450</v>
      </c>
      <c r="D14" s="4" t="str">
        <f t="shared" si="1"/>
        <v>156747GASTO COMUN</v>
      </c>
      <c r="E14" s="4">
        <v>3.305012006E9</v>
      </c>
      <c r="F14" s="4">
        <v>5.0302002E7</v>
      </c>
    </row>
    <row r="15">
      <c r="A15" s="38">
        <v>156747.0</v>
      </c>
      <c r="B15" s="39" t="s">
        <v>631</v>
      </c>
      <c r="C15" s="39" t="s">
        <v>450</v>
      </c>
      <c r="D15" s="4" t="str">
        <f t="shared" si="1"/>
        <v>156747PUBLICIDAD</v>
      </c>
      <c r="E15" s="4">
        <v>3.305012006E9</v>
      </c>
      <c r="F15" s="4">
        <v>5.0302002E7</v>
      </c>
    </row>
    <row r="16">
      <c r="A16" s="66">
        <v>801707.0</v>
      </c>
      <c r="B16" s="67" t="s">
        <v>422</v>
      </c>
      <c r="C16" s="67" t="s">
        <v>450</v>
      </c>
      <c r="D16" s="4" t="str">
        <f t="shared" si="1"/>
        <v>801707ARRIENDO</v>
      </c>
      <c r="E16" s="4">
        <v>3.305012006E9</v>
      </c>
      <c r="F16" s="4">
        <v>5.0302002E7</v>
      </c>
    </row>
    <row r="17">
      <c r="A17" s="38">
        <v>808291.0</v>
      </c>
      <c r="B17" s="39" t="s">
        <v>432</v>
      </c>
      <c r="C17" s="39" t="s">
        <v>471</v>
      </c>
      <c r="D17" s="4" t="str">
        <f t="shared" si="1"/>
        <v>808291Agua y Electricidad</v>
      </c>
      <c r="E17" s="4">
        <v>3.305012006E9</v>
      </c>
      <c r="F17" s="4">
        <v>5.0302002E7</v>
      </c>
    </row>
    <row r="18">
      <c r="A18" s="38">
        <v>808291.0</v>
      </c>
      <c r="B18" s="39" t="s">
        <v>422</v>
      </c>
      <c r="C18" s="39" t="s">
        <v>471</v>
      </c>
      <c r="D18" s="4" t="str">
        <f t="shared" si="1"/>
        <v>808291ARRIENDO</v>
      </c>
      <c r="E18" s="4">
        <v>3.305012006E9</v>
      </c>
      <c r="F18" s="4">
        <v>5.0302002E7</v>
      </c>
    </row>
    <row r="19">
      <c r="A19" s="38">
        <v>808291.0</v>
      </c>
      <c r="B19" s="39" t="s">
        <v>632</v>
      </c>
      <c r="C19" s="39" t="s">
        <v>471</v>
      </c>
      <c r="D19" s="4" t="str">
        <f t="shared" si="1"/>
        <v>808291GGCC ADM</v>
      </c>
      <c r="E19" s="4">
        <v>3.305012006E9</v>
      </c>
      <c r="F19" s="4">
        <v>5.0302002E7</v>
      </c>
    </row>
    <row r="20">
      <c r="A20" s="38">
        <v>143255.0</v>
      </c>
      <c r="B20" s="39" t="s">
        <v>422</v>
      </c>
      <c r="C20" s="39" t="s">
        <v>455</v>
      </c>
      <c r="D20" s="4" t="str">
        <f t="shared" si="1"/>
        <v>143255ARRIENDO</v>
      </c>
      <c r="E20" s="4">
        <v>3.305012006E9</v>
      </c>
      <c r="F20" s="4">
        <v>5.0302002E7</v>
      </c>
    </row>
    <row r="21">
      <c r="A21" s="38">
        <v>156747.0</v>
      </c>
      <c r="B21" s="39" t="s">
        <v>628</v>
      </c>
      <c r="C21" s="39" t="s">
        <v>455</v>
      </c>
      <c r="D21" s="4" t="str">
        <f t="shared" si="1"/>
        <v>156747GASTO COMUN</v>
      </c>
      <c r="E21" s="4">
        <v>3.305012006E9</v>
      </c>
      <c r="F21" s="4">
        <v>5.0302002E7</v>
      </c>
    </row>
    <row r="22">
      <c r="A22" s="38">
        <v>801936.0</v>
      </c>
      <c r="B22" s="39" t="s">
        <v>432</v>
      </c>
      <c r="C22" s="39" t="s">
        <v>364</v>
      </c>
      <c r="D22" s="4" t="str">
        <f t="shared" si="1"/>
        <v>801936Agua y Electricidad</v>
      </c>
      <c r="E22" s="4">
        <v>3.305012006E9</v>
      </c>
      <c r="F22" s="4">
        <v>5.0302002E7</v>
      </c>
    </row>
    <row r="23">
      <c r="A23" s="38">
        <v>801936.0</v>
      </c>
      <c r="B23" s="39" t="s">
        <v>632</v>
      </c>
      <c r="C23" s="39" t="s">
        <v>364</v>
      </c>
      <c r="D23" s="4" t="str">
        <f t="shared" si="1"/>
        <v>801936GGCC ADM</v>
      </c>
      <c r="E23" s="4">
        <v>3.305012006E9</v>
      </c>
      <c r="F23" s="4">
        <v>5.0302002E7</v>
      </c>
    </row>
    <row r="24">
      <c r="A24" s="38">
        <v>154155.0</v>
      </c>
      <c r="B24" s="39" t="s">
        <v>422</v>
      </c>
      <c r="C24" s="39" t="s">
        <v>458</v>
      </c>
      <c r="D24" s="4" t="str">
        <f t="shared" si="1"/>
        <v>154155ARRIENDO</v>
      </c>
      <c r="E24" s="4">
        <v>3.305012006E9</v>
      </c>
      <c r="F24" s="4">
        <v>5.0302002E7</v>
      </c>
    </row>
    <row r="25">
      <c r="A25" s="38">
        <v>154155.0</v>
      </c>
      <c r="B25" s="39" t="s">
        <v>422</v>
      </c>
      <c r="C25" s="39" t="s">
        <v>460</v>
      </c>
      <c r="D25" s="4" t="str">
        <f t="shared" si="1"/>
        <v>154155ARRIENDO</v>
      </c>
      <c r="E25" s="4">
        <v>3.305012006E9</v>
      </c>
      <c r="F25" s="4">
        <v>5.0302002E7</v>
      </c>
    </row>
    <row r="26">
      <c r="A26" s="38">
        <v>154155.0</v>
      </c>
      <c r="B26" s="39" t="s">
        <v>422</v>
      </c>
      <c r="C26" s="39" t="s">
        <v>151</v>
      </c>
      <c r="D26" s="4" t="str">
        <f t="shared" si="1"/>
        <v>154155ARRIENDO</v>
      </c>
      <c r="E26" s="4">
        <v>3.305012006E9</v>
      </c>
      <c r="F26" s="4">
        <v>5.0302002E7</v>
      </c>
    </row>
    <row r="27">
      <c r="A27" s="38">
        <v>156747.0</v>
      </c>
      <c r="B27" s="39" t="s">
        <v>628</v>
      </c>
      <c r="C27" s="39" t="s">
        <v>473</v>
      </c>
      <c r="D27" s="4" t="str">
        <f t="shared" si="1"/>
        <v>156747GASTO COMUN</v>
      </c>
      <c r="E27" s="4">
        <v>3.305012006E9</v>
      </c>
      <c r="F27" s="4">
        <v>5.0302002E7</v>
      </c>
    </row>
    <row r="28">
      <c r="A28" s="38">
        <v>807784.0</v>
      </c>
      <c r="B28" s="39" t="s">
        <v>633</v>
      </c>
      <c r="C28" s="39" t="s">
        <v>467</v>
      </c>
      <c r="D28" s="4" t="str">
        <f t="shared" si="1"/>
        <v>807784ARRIENDO VARIABE, ADM</v>
      </c>
      <c r="E28" s="4">
        <v>3.305012006E9</v>
      </c>
      <c r="F28" s="4">
        <v>5.0302002E7</v>
      </c>
    </row>
    <row r="29">
      <c r="A29" s="38">
        <v>816449.0</v>
      </c>
      <c r="B29" s="39" t="s">
        <v>422</v>
      </c>
      <c r="C29" s="39" t="s">
        <v>523</v>
      </c>
      <c r="D29" s="4" t="str">
        <f t="shared" si="1"/>
        <v>816449ARRIENDO</v>
      </c>
      <c r="E29" s="4">
        <v>3.305012006E9</v>
      </c>
      <c r="F29" s="4">
        <v>5.0302002E7</v>
      </c>
    </row>
    <row r="30">
      <c r="A30" s="38">
        <v>800812.0</v>
      </c>
      <c r="B30" s="39" t="s">
        <v>422</v>
      </c>
      <c r="C30" s="39" t="s">
        <v>490</v>
      </c>
      <c r="D30" s="4" t="str">
        <f t="shared" si="1"/>
        <v>800812ARRIENDO</v>
      </c>
      <c r="E30" s="4">
        <v>3.305012006E9</v>
      </c>
      <c r="F30" s="4">
        <v>5.0302002E7</v>
      </c>
    </row>
    <row r="31">
      <c r="A31" s="38">
        <v>800812.0</v>
      </c>
      <c r="B31" s="39" t="s">
        <v>405</v>
      </c>
      <c r="C31" s="39" t="s">
        <v>490</v>
      </c>
      <c r="D31" s="4" t="str">
        <f t="shared" si="1"/>
        <v>800812EXENTO</v>
      </c>
      <c r="E31" s="4">
        <v>3.305012006E9</v>
      </c>
      <c r="F31" s="4">
        <v>5.0302002E7</v>
      </c>
    </row>
    <row r="32">
      <c r="A32" s="38">
        <v>813656.0</v>
      </c>
      <c r="B32" s="39" t="s">
        <v>422</v>
      </c>
      <c r="C32" s="39" t="s">
        <v>493</v>
      </c>
      <c r="D32" s="4" t="str">
        <f t="shared" si="1"/>
        <v>813656ARRIENDO</v>
      </c>
      <c r="E32" s="4">
        <v>3.305012006E9</v>
      </c>
      <c r="F32" s="4">
        <v>5.0302002E7</v>
      </c>
    </row>
    <row r="33">
      <c r="A33" s="38">
        <v>813656.0</v>
      </c>
      <c r="B33" s="39" t="s">
        <v>405</v>
      </c>
      <c r="C33" s="39" t="s">
        <v>493</v>
      </c>
      <c r="D33" s="4" t="str">
        <f t="shared" si="1"/>
        <v>813656EXENTO</v>
      </c>
      <c r="E33" s="4">
        <v>3.305012006E9</v>
      </c>
      <c r="F33" s="4">
        <v>5.0302002E7</v>
      </c>
    </row>
    <row r="34">
      <c r="A34" s="38">
        <v>800812.0</v>
      </c>
      <c r="B34" s="39" t="s">
        <v>422</v>
      </c>
      <c r="C34" s="39" t="s">
        <v>484</v>
      </c>
      <c r="D34" s="4" t="str">
        <f t="shared" si="1"/>
        <v>800812ARRIENDO</v>
      </c>
      <c r="E34" s="4">
        <v>3.305012006E9</v>
      </c>
      <c r="F34" s="4">
        <v>5.0302002E7</v>
      </c>
    </row>
    <row r="35">
      <c r="A35" s="38">
        <v>800812.0</v>
      </c>
      <c r="B35" s="39" t="s">
        <v>405</v>
      </c>
      <c r="C35" s="39" t="s">
        <v>484</v>
      </c>
      <c r="D35" s="4" t="str">
        <f t="shared" si="1"/>
        <v>800812EXENTO</v>
      </c>
      <c r="E35" s="4">
        <v>3.305012006E9</v>
      </c>
      <c r="F35" s="4">
        <v>5.0302002E7</v>
      </c>
    </row>
    <row r="36">
      <c r="A36" s="38">
        <v>810647.0</v>
      </c>
      <c r="B36" s="39" t="s">
        <v>422</v>
      </c>
      <c r="C36" s="39" t="s">
        <v>496</v>
      </c>
      <c r="D36" s="4" t="str">
        <f t="shared" si="1"/>
        <v>810647ARRIENDO</v>
      </c>
      <c r="E36" s="4">
        <v>3.305012006E9</v>
      </c>
      <c r="F36" s="4">
        <v>5.0302002E7</v>
      </c>
    </row>
    <row r="37">
      <c r="A37" s="38">
        <v>810647.0</v>
      </c>
      <c r="B37" s="39" t="s">
        <v>405</v>
      </c>
      <c r="C37" s="39" t="s">
        <v>496</v>
      </c>
      <c r="D37" s="4" t="str">
        <f t="shared" si="1"/>
        <v>810647EXENTO</v>
      </c>
      <c r="E37" s="4">
        <v>3.305012006E9</v>
      </c>
      <c r="F37" s="4">
        <v>5.0302002E7</v>
      </c>
    </row>
    <row r="38">
      <c r="A38" s="38">
        <v>800812.0</v>
      </c>
      <c r="B38" s="39" t="s">
        <v>422</v>
      </c>
      <c r="C38" s="39" t="s">
        <v>486</v>
      </c>
      <c r="D38" s="4" t="str">
        <f t="shared" si="1"/>
        <v>800812ARRIENDO</v>
      </c>
      <c r="E38" s="4">
        <v>3.305012006E9</v>
      </c>
      <c r="F38" s="4">
        <v>5.0302002E7</v>
      </c>
    </row>
    <row r="39">
      <c r="A39" s="38">
        <v>800812.0</v>
      </c>
      <c r="B39" s="39" t="s">
        <v>405</v>
      </c>
      <c r="C39" s="39" t="s">
        <v>486</v>
      </c>
      <c r="D39" s="4" t="str">
        <f t="shared" si="1"/>
        <v>800812EXENTO</v>
      </c>
      <c r="E39" s="4">
        <v>3.305012006E9</v>
      </c>
      <c r="F39" s="4">
        <v>5.0302002E7</v>
      </c>
    </row>
    <row r="40">
      <c r="A40" s="38">
        <v>800812.0</v>
      </c>
      <c r="B40" s="39" t="s">
        <v>422</v>
      </c>
      <c r="C40" s="39" t="s">
        <v>498</v>
      </c>
      <c r="D40" s="4" t="str">
        <f t="shared" si="1"/>
        <v>800812ARRIENDO</v>
      </c>
      <c r="E40" s="4">
        <v>3.305012006E9</v>
      </c>
      <c r="F40" s="4">
        <v>5.0302002E7</v>
      </c>
    </row>
    <row r="41">
      <c r="A41" s="38">
        <v>800812.0</v>
      </c>
      <c r="B41" s="39" t="s">
        <v>405</v>
      </c>
      <c r="C41" s="39" t="s">
        <v>498</v>
      </c>
      <c r="D41" s="4" t="str">
        <f t="shared" si="1"/>
        <v>800812EXENTO</v>
      </c>
      <c r="E41" s="4">
        <v>3.305012006E9</v>
      </c>
      <c r="F41" s="4">
        <v>5.0302002E7</v>
      </c>
    </row>
    <row r="42">
      <c r="A42" s="38">
        <v>820941.0</v>
      </c>
      <c r="B42" s="39" t="s">
        <v>422</v>
      </c>
      <c r="C42" s="39" t="s">
        <v>501</v>
      </c>
      <c r="D42" s="4" t="str">
        <f t="shared" si="1"/>
        <v>820941ARRIENDO</v>
      </c>
      <c r="E42" s="4">
        <v>3.305012006E9</v>
      </c>
      <c r="F42" s="4">
        <v>5.0302002E7</v>
      </c>
    </row>
    <row r="43">
      <c r="A43" s="38">
        <v>820941.0</v>
      </c>
      <c r="B43" s="39" t="s">
        <v>405</v>
      </c>
      <c r="C43" s="39" t="s">
        <v>501</v>
      </c>
      <c r="D43" s="4" t="str">
        <f t="shared" si="1"/>
        <v>820941EXENTO</v>
      </c>
      <c r="E43" s="4">
        <v>3.305012006E9</v>
      </c>
      <c r="F43" s="4">
        <v>5.0302002E7</v>
      </c>
    </row>
    <row r="44">
      <c r="A44" s="38">
        <v>810647.0</v>
      </c>
      <c r="B44" s="39" t="s">
        <v>422</v>
      </c>
      <c r="C44" s="39" t="s">
        <v>503</v>
      </c>
      <c r="D44" s="4" t="str">
        <f t="shared" si="1"/>
        <v>810647ARRIENDO</v>
      </c>
      <c r="E44" s="4">
        <v>3.305012006E9</v>
      </c>
      <c r="F44" s="4">
        <v>5.0302002E7</v>
      </c>
    </row>
    <row r="45">
      <c r="A45" s="38">
        <v>810647.0</v>
      </c>
      <c r="B45" s="39" t="s">
        <v>405</v>
      </c>
      <c r="C45" s="39" t="s">
        <v>503</v>
      </c>
      <c r="D45" s="4" t="str">
        <f t="shared" si="1"/>
        <v>810647EXENTO</v>
      </c>
      <c r="E45" s="4">
        <v>3.305012006E9</v>
      </c>
      <c r="F45" s="4">
        <v>5.0302002E7</v>
      </c>
    </row>
    <row r="46">
      <c r="A46" s="38">
        <v>800812.0</v>
      </c>
      <c r="B46" s="39" t="s">
        <v>422</v>
      </c>
      <c r="C46" s="39" t="s">
        <v>505</v>
      </c>
      <c r="D46" s="4" t="str">
        <f t="shared" si="1"/>
        <v>800812ARRIENDO</v>
      </c>
      <c r="E46" s="4">
        <v>3.305012006E9</v>
      </c>
      <c r="F46" s="4">
        <v>5.0302002E7</v>
      </c>
    </row>
    <row r="47">
      <c r="A47" s="38">
        <v>800812.0</v>
      </c>
      <c r="B47" s="39" t="s">
        <v>405</v>
      </c>
      <c r="C47" s="39" t="s">
        <v>505</v>
      </c>
      <c r="D47" s="4" t="str">
        <f t="shared" si="1"/>
        <v>800812EXENTO</v>
      </c>
      <c r="E47" s="4">
        <v>3.305012006E9</v>
      </c>
      <c r="F47" s="4">
        <v>5.0302002E7</v>
      </c>
    </row>
    <row r="48">
      <c r="A48" s="38">
        <v>813426.0</v>
      </c>
      <c r="B48" s="39" t="s">
        <v>432</v>
      </c>
      <c r="C48" s="39" t="s">
        <v>528</v>
      </c>
      <c r="D48" s="4" t="str">
        <f t="shared" si="1"/>
        <v>813426Agua y Electricidad</v>
      </c>
      <c r="E48" s="4">
        <v>3.305012006E9</v>
      </c>
      <c r="F48" s="4">
        <v>5.0302002E7</v>
      </c>
    </row>
    <row r="49">
      <c r="A49" s="38">
        <v>800812.0</v>
      </c>
      <c r="B49" s="39" t="s">
        <v>422</v>
      </c>
      <c r="C49" s="39" t="s">
        <v>507</v>
      </c>
      <c r="D49" s="4" t="str">
        <f t="shared" si="1"/>
        <v>800812ARRIENDO</v>
      </c>
      <c r="E49" s="4">
        <v>3.305012006E9</v>
      </c>
      <c r="F49" s="4">
        <v>5.0302002E7</v>
      </c>
    </row>
    <row r="50">
      <c r="A50" s="38">
        <v>800812.0</v>
      </c>
      <c r="B50" s="39" t="s">
        <v>405</v>
      </c>
      <c r="C50" s="39" t="s">
        <v>507</v>
      </c>
      <c r="D50" s="4" t="str">
        <f t="shared" si="1"/>
        <v>800812EXENTO</v>
      </c>
      <c r="E50" s="4">
        <v>3.305012006E9</v>
      </c>
      <c r="F50" s="4">
        <v>5.0302002E7</v>
      </c>
    </row>
    <row r="51">
      <c r="A51" s="38">
        <v>800812.0</v>
      </c>
      <c r="B51" s="39" t="s">
        <v>422</v>
      </c>
      <c r="C51" s="39" t="s">
        <v>488</v>
      </c>
      <c r="D51" s="4" t="str">
        <f t="shared" si="1"/>
        <v>800812ARRIENDO</v>
      </c>
      <c r="E51" s="4">
        <v>3.305012006E9</v>
      </c>
      <c r="F51" s="4">
        <v>5.0302002E7</v>
      </c>
    </row>
    <row r="52">
      <c r="A52" s="38">
        <v>800812.0</v>
      </c>
      <c r="B52" s="39" t="s">
        <v>405</v>
      </c>
      <c r="C52" s="39" t="s">
        <v>488</v>
      </c>
      <c r="D52" s="4" t="str">
        <f t="shared" si="1"/>
        <v>800812EXENTO</v>
      </c>
      <c r="E52" s="4">
        <v>3.305012006E9</v>
      </c>
      <c r="F52" s="4">
        <v>5.0302002E7</v>
      </c>
    </row>
    <row r="53">
      <c r="A53" s="38">
        <v>800812.0</v>
      </c>
      <c r="B53" s="39" t="s">
        <v>422</v>
      </c>
      <c r="C53" s="39" t="s">
        <v>509</v>
      </c>
      <c r="D53" s="4" t="str">
        <f t="shared" si="1"/>
        <v>800812ARRIENDO</v>
      </c>
      <c r="E53" s="4">
        <v>3.305012006E9</v>
      </c>
      <c r="F53" s="4">
        <v>5.0302002E7</v>
      </c>
    </row>
    <row r="54">
      <c r="A54" s="38">
        <v>800812.0</v>
      </c>
      <c r="B54" s="39" t="s">
        <v>405</v>
      </c>
      <c r="C54" s="39" t="s">
        <v>509</v>
      </c>
      <c r="D54" s="4" t="str">
        <f t="shared" si="1"/>
        <v>800812EXENTO</v>
      </c>
      <c r="E54" s="4">
        <v>3.305012006E9</v>
      </c>
      <c r="F54" s="4">
        <v>5.0302002E7</v>
      </c>
    </row>
    <row r="55">
      <c r="A55" s="38">
        <v>800812.0</v>
      </c>
      <c r="B55" s="39" t="s">
        <v>422</v>
      </c>
      <c r="C55" s="39" t="s">
        <v>511</v>
      </c>
      <c r="D55" s="4" t="str">
        <f t="shared" si="1"/>
        <v>800812ARRIENDO</v>
      </c>
      <c r="E55" s="4">
        <v>3.305012006E9</v>
      </c>
      <c r="F55" s="4">
        <v>5.0302002E7</v>
      </c>
    </row>
    <row r="56">
      <c r="A56" s="38">
        <v>800812.0</v>
      </c>
      <c r="B56" s="39" t="s">
        <v>405</v>
      </c>
      <c r="C56" s="39" t="s">
        <v>511</v>
      </c>
      <c r="D56" s="4" t="str">
        <f t="shared" si="1"/>
        <v>800812EXENTO</v>
      </c>
      <c r="E56" s="4">
        <v>3.305012006E9</v>
      </c>
      <c r="F56" s="4">
        <v>5.0302002E7</v>
      </c>
    </row>
    <row r="57">
      <c r="A57" s="38">
        <v>810647.0</v>
      </c>
      <c r="B57" s="39" t="s">
        <v>422</v>
      </c>
      <c r="C57" s="39" t="s">
        <v>513</v>
      </c>
      <c r="D57" s="4" t="str">
        <f t="shared" si="1"/>
        <v>810647ARRIENDO</v>
      </c>
      <c r="E57" s="4">
        <v>3.305012006E9</v>
      </c>
      <c r="F57" s="4">
        <v>5.0302002E7</v>
      </c>
    </row>
    <row r="58">
      <c r="A58" s="38">
        <v>810647.0</v>
      </c>
      <c r="B58" s="39" t="s">
        <v>405</v>
      </c>
      <c r="C58" s="39" t="s">
        <v>513</v>
      </c>
      <c r="D58" s="4" t="str">
        <f t="shared" si="1"/>
        <v>810647EXENTO</v>
      </c>
      <c r="E58" s="4">
        <v>3.305012006E9</v>
      </c>
      <c r="F58" s="4">
        <v>5.0302002E7</v>
      </c>
    </row>
    <row r="59">
      <c r="A59" s="38">
        <v>802142.0</v>
      </c>
      <c r="B59" s="39" t="s">
        <v>422</v>
      </c>
      <c r="C59" s="39" t="s">
        <v>516</v>
      </c>
      <c r="D59" s="4" t="str">
        <f t="shared" si="1"/>
        <v>802142ARRIENDO</v>
      </c>
      <c r="E59" s="4">
        <v>3.305012006E9</v>
      </c>
      <c r="F59" s="4">
        <v>5.0302002E7</v>
      </c>
    </row>
    <row r="60">
      <c r="A60" s="38">
        <v>802142.0</v>
      </c>
      <c r="B60" s="39" t="s">
        <v>405</v>
      </c>
      <c r="C60" s="39" t="s">
        <v>516</v>
      </c>
      <c r="D60" s="4" t="str">
        <f t="shared" si="1"/>
        <v>802142EXENTO</v>
      </c>
      <c r="E60" s="4">
        <v>3.305012006E9</v>
      </c>
      <c r="F60" s="4">
        <v>5.0302002E7</v>
      </c>
    </row>
    <row r="61">
      <c r="A61" s="38">
        <v>801936.0</v>
      </c>
      <c r="B61" s="39" t="s">
        <v>432</v>
      </c>
      <c r="C61" s="39" t="s">
        <v>475</v>
      </c>
      <c r="D61" s="4" t="str">
        <f t="shared" si="1"/>
        <v>801936Agua y Electricidad</v>
      </c>
      <c r="E61" s="4">
        <v>3.305012006E9</v>
      </c>
      <c r="F61" s="4">
        <v>5.0302002E7</v>
      </c>
    </row>
    <row r="62">
      <c r="A62" s="38">
        <v>801936.0</v>
      </c>
      <c r="B62" s="39" t="s">
        <v>632</v>
      </c>
      <c r="C62" s="39" t="s">
        <v>475</v>
      </c>
      <c r="D62" s="4" t="str">
        <f t="shared" si="1"/>
        <v>801936GGCC ADM</v>
      </c>
      <c r="E62" s="4">
        <v>3.305012006E9</v>
      </c>
      <c r="F62" s="4">
        <v>5.0302002E7</v>
      </c>
    </row>
    <row r="63">
      <c r="A63" s="38">
        <v>803668.0</v>
      </c>
      <c r="B63" s="39" t="s">
        <v>422</v>
      </c>
      <c r="C63" s="39" t="s">
        <v>264</v>
      </c>
      <c r="D63" s="4" t="str">
        <f t="shared" si="1"/>
        <v>803668ARRIENDO</v>
      </c>
      <c r="E63" s="4">
        <v>3.305012006E9</v>
      </c>
      <c r="F63" s="4">
        <v>5.0302002E7</v>
      </c>
    </row>
    <row r="64">
      <c r="A64" s="38">
        <v>803668.0</v>
      </c>
      <c r="B64" s="39" t="s">
        <v>634</v>
      </c>
      <c r="C64" s="39" t="s">
        <v>264</v>
      </c>
      <c r="D64" s="4" t="str">
        <f t="shared" si="1"/>
        <v>803668ARRIENDO BODEGA</v>
      </c>
      <c r="E64" s="4">
        <v>3.305012006E9</v>
      </c>
      <c r="F64" s="4">
        <v>5.0302002E7</v>
      </c>
    </row>
    <row r="65">
      <c r="A65" s="38">
        <v>803668.0</v>
      </c>
      <c r="B65" s="39" t="s">
        <v>635</v>
      </c>
      <c r="C65" s="39" t="s">
        <v>264</v>
      </c>
      <c r="D65" s="4" t="str">
        <f t="shared" si="1"/>
        <v>803668BODEGA OPERACIÓN, ADM</v>
      </c>
      <c r="E65" s="4">
        <v>3.305012006E9</v>
      </c>
      <c r="F65" s="4">
        <v>5.0302002E7</v>
      </c>
    </row>
    <row r="66">
      <c r="A66" s="38">
        <v>803668.0</v>
      </c>
      <c r="B66" s="39" t="s">
        <v>636</v>
      </c>
      <c r="C66" s="39" t="s">
        <v>264</v>
      </c>
      <c r="D66" s="4" t="str">
        <f t="shared" si="1"/>
        <v>803668OPERACIÓN, ADM</v>
      </c>
      <c r="E66" s="4">
        <v>3.305012006E9</v>
      </c>
      <c r="F66" s="4">
        <v>5.0302002E7</v>
      </c>
    </row>
    <row r="67">
      <c r="A67" s="38">
        <v>801100.0</v>
      </c>
      <c r="B67" s="39" t="s">
        <v>422</v>
      </c>
      <c r="C67" s="39" t="s">
        <v>85</v>
      </c>
      <c r="D67" s="4" t="str">
        <f t="shared" si="1"/>
        <v>801100ARRIENDO</v>
      </c>
      <c r="E67" s="4">
        <v>3.305012006E9</v>
      </c>
      <c r="F67" s="4">
        <v>5.0302002E7</v>
      </c>
    </row>
    <row r="68">
      <c r="A68" s="38">
        <v>801100.0</v>
      </c>
      <c r="B68" s="39" t="s">
        <v>629</v>
      </c>
      <c r="C68" s="39" t="s">
        <v>85</v>
      </c>
      <c r="D68" s="4" t="str">
        <f t="shared" si="1"/>
        <v>801100ELECTRICIDAD</v>
      </c>
      <c r="E68" s="4">
        <v>3.305012006E9</v>
      </c>
      <c r="F68" s="4">
        <v>5.0302002E7</v>
      </c>
    </row>
    <row r="69">
      <c r="A69" s="38">
        <v>809145.0</v>
      </c>
      <c r="B69" s="39" t="s">
        <v>637</v>
      </c>
      <c r="C69" s="39" t="s">
        <v>478</v>
      </c>
      <c r="D69" s="4" t="str">
        <f t="shared" si="1"/>
        <v>809145ARRIENDO VARIABLE</v>
      </c>
      <c r="E69" s="4">
        <v>3.305012006E9</v>
      </c>
      <c r="F69" s="4">
        <v>5.0302002E7</v>
      </c>
    </row>
    <row r="70">
      <c r="A70" s="38">
        <v>809145.0</v>
      </c>
      <c r="B70" s="39" t="s">
        <v>629</v>
      </c>
      <c r="C70" s="39" t="s">
        <v>478</v>
      </c>
      <c r="D70" s="4" t="str">
        <f t="shared" si="1"/>
        <v>809145ELECTRICIDAD</v>
      </c>
      <c r="E70" s="4">
        <v>3.305012006E9</v>
      </c>
      <c r="F70" s="4">
        <v>5.0302002E7</v>
      </c>
    </row>
    <row r="71">
      <c r="A71" s="38">
        <v>808766.0</v>
      </c>
      <c r="B71" s="39" t="s">
        <v>422</v>
      </c>
      <c r="C71" s="39" t="s">
        <v>540</v>
      </c>
      <c r="D71" s="4" t="str">
        <f t="shared" si="1"/>
        <v>808766ARRIENDO</v>
      </c>
      <c r="E71" s="4">
        <v>3.305012006E9</v>
      </c>
      <c r="F71" s="4">
        <v>5.0302002E7</v>
      </c>
    </row>
    <row r="72">
      <c r="A72" s="38">
        <v>808766.0</v>
      </c>
      <c r="B72" s="39" t="s">
        <v>638</v>
      </c>
      <c r="C72" s="39" t="s">
        <v>540</v>
      </c>
      <c r="D72" s="4" t="str">
        <f t="shared" si="1"/>
        <v>808766BODEGA ARRIENDO</v>
      </c>
      <c r="E72" s="4">
        <v>3.305012006E9</v>
      </c>
      <c r="F72" s="4">
        <v>5.0302002E7</v>
      </c>
    </row>
    <row r="73">
      <c r="A73" s="38">
        <v>808766.0</v>
      </c>
      <c r="B73" s="39" t="s">
        <v>639</v>
      </c>
      <c r="C73" s="39" t="s">
        <v>540</v>
      </c>
      <c r="D73" s="4" t="str">
        <f t="shared" si="1"/>
        <v>808766PROMOCION, ADM ELECTRICIDAD</v>
      </c>
      <c r="E73" s="4">
        <v>3.305012006E9</v>
      </c>
      <c r="F73" s="4">
        <v>5.0302002E7</v>
      </c>
    </row>
    <row r="74">
      <c r="A74" s="38">
        <v>816644.0</v>
      </c>
      <c r="B74" s="39" t="s">
        <v>629</v>
      </c>
      <c r="C74" s="39" t="s">
        <v>132</v>
      </c>
      <c r="D74" s="4" t="str">
        <f t="shared" si="1"/>
        <v>816644ELECTRICIDAD</v>
      </c>
      <c r="E74" s="4">
        <v>3.305012006E9</v>
      </c>
      <c r="F74" s="4">
        <v>5.0302002E7</v>
      </c>
    </row>
    <row r="75">
      <c r="A75" s="38">
        <v>809145.0</v>
      </c>
      <c r="B75" s="39" t="s">
        <v>432</v>
      </c>
      <c r="C75" s="39" t="s">
        <v>481</v>
      </c>
      <c r="D75" s="4" t="str">
        <f t="shared" si="1"/>
        <v>809145Agua y Electricidad</v>
      </c>
      <c r="E75" s="4">
        <v>3.305012006E9</v>
      </c>
      <c r="F75" s="4">
        <v>5.0302002E7</v>
      </c>
    </row>
    <row r="76">
      <c r="A76" s="38">
        <v>809145.0</v>
      </c>
      <c r="B76" s="39" t="s">
        <v>630</v>
      </c>
      <c r="C76" s="39" t="s">
        <v>481</v>
      </c>
      <c r="D76" s="4" t="str">
        <f t="shared" si="1"/>
        <v>809145ARRIENDO VARIABLE, ELECTRICIDAD</v>
      </c>
      <c r="E76" s="4">
        <v>3.305012006E9</v>
      </c>
      <c r="F76" s="4">
        <v>5.0302002E7</v>
      </c>
    </row>
    <row r="77">
      <c r="A77" s="38">
        <v>156747.0</v>
      </c>
      <c r="B77" s="39" t="s">
        <v>628</v>
      </c>
      <c r="C77" s="39" t="s">
        <v>452</v>
      </c>
      <c r="D77" s="4" t="str">
        <f t="shared" si="1"/>
        <v>156747GASTO COMUN</v>
      </c>
      <c r="E77" s="4">
        <v>3.305012006E9</v>
      </c>
      <c r="F77" s="4">
        <v>5.0302002E7</v>
      </c>
    </row>
    <row r="78">
      <c r="A78" s="38">
        <v>156747.0</v>
      </c>
      <c r="B78" s="39" t="s">
        <v>628</v>
      </c>
      <c r="C78" s="39" t="s">
        <v>530</v>
      </c>
      <c r="D78" s="4" t="str">
        <f t="shared" si="1"/>
        <v>156747GASTO COMUN</v>
      </c>
      <c r="E78" s="4">
        <v>3.305012006E9</v>
      </c>
      <c r="F78" s="4">
        <v>5.0302002E7</v>
      </c>
    </row>
    <row r="79">
      <c r="A79" s="38">
        <v>156747.0</v>
      </c>
      <c r="B79" s="39" t="s">
        <v>628</v>
      </c>
      <c r="C79" s="39" t="s">
        <v>532</v>
      </c>
      <c r="D79" s="4" t="str">
        <f t="shared" si="1"/>
        <v>156747GASTO COMUN</v>
      </c>
      <c r="E79" s="4">
        <v>3.305012006E9</v>
      </c>
      <c r="F79" s="4">
        <v>5.0302002E7</v>
      </c>
    </row>
    <row r="80">
      <c r="A80" s="38">
        <v>156747.0</v>
      </c>
      <c r="B80" s="39" t="s">
        <v>628</v>
      </c>
      <c r="C80" s="39" t="s">
        <v>534</v>
      </c>
      <c r="D80" s="4" t="str">
        <f t="shared" si="1"/>
        <v>156747GASTO COMUN</v>
      </c>
      <c r="E80" s="4">
        <v>3.305012006E9</v>
      </c>
      <c r="F80" s="4">
        <v>5.0302002E7</v>
      </c>
    </row>
    <row r="81">
      <c r="A81" s="38">
        <v>809145.0</v>
      </c>
      <c r="B81" s="39" t="s">
        <v>432</v>
      </c>
      <c r="C81" s="39" t="s">
        <v>116</v>
      </c>
      <c r="D81" s="4" t="str">
        <f t="shared" si="1"/>
        <v>809145Agua y Electricidad</v>
      </c>
      <c r="E81" s="4">
        <v>3.305012006E9</v>
      </c>
      <c r="F81" s="4">
        <v>5.0302002E7</v>
      </c>
    </row>
    <row r="82">
      <c r="A82" s="38">
        <v>809145.0</v>
      </c>
      <c r="B82" s="39" t="s">
        <v>637</v>
      </c>
      <c r="C82" s="39" t="s">
        <v>116</v>
      </c>
      <c r="D82" s="4" t="str">
        <f t="shared" si="1"/>
        <v>809145ARRIENDO VARIABLE</v>
      </c>
      <c r="E82" s="4">
        <v>3.305012006E9</v>
      </c>
      <c r="F82" s="4">
        <v>5.0302002E7</v>
      </c>
    </row>
    <row r="83">
      <c r="A83" s="38">
        <v>817165.0</v>
      </c>
      <c r="B83" s="39" t="s">
        <v>422</v>
      </c>
      <c r="C83" s="39" t="s">
        <v>543</v>
      </c>
      <c r="D83" s="4" t="str">
        <f t="shared" si="1"/>
        <v>817165ARRIENDO</v>
      </c>
      <c r="E83" s="4">
        <v>3.305012006E9</v>
      </c>
      <c r="F83" s="4">
        <v>5.0302002E7</v>
      </c>
    </row>
    <row r="84">
      <c r="A84" s="38">
        <v>817165.0</v>
      </c>
      <c r="B84" s="39" t="s">
        <v>637</v>
      </c>
      <c r="C84" s="39" t="s">
        <v>543</v>
      </c>
      <c r="D84" s="4" t="str">
        <f t="shared" si="1"/>
        <v>817165ARRIENDO VARIABLE</v>
      </c>
      <c r="E84" s="4">
        <v>3.305012006E9</v>
      </c>
      <c r="F84" s="4">
        <v>5.0302002E7</v>
      </c>
    </row>
    <row r="85">
      <c r="A85" s="38">
        <v>817165.0</v>
      </c>
      <c r="B85" s="39" t="s">
        <v>628</v>
      </c>
      <c r="C85" s="39" t="s">
        <v>543</v>
      </c>
      <c r="D85" s="4" t="str">
        <f t="shared" si="1"/>
        <v>817165GASTO COMUN</v>
      </c>
      <c r="E85" s="4">
        <v>3.305012006E9</v>
      </c>
      <c r="F85" s="4">
        <v>5.0302002E7</v>
      </c>
    </row>
    <row r="86">
      <c r="A86" s="38">
        <v>817165.0</v>
      </c>
      <c r="B86" s="39" t="s">
        <v>640</v>
      </c>
      <c r="C86" s="39" t="s">
        <v>543</v>
      </c>
      <c r="D86" s="4" t="str">
        <f t="shared" si="1"/>
        <v>817165MULTAS E INTERES</v>
      </c>
      <c r="E86" s="4">
        <v>3.305012006E9</v>
      </c>
      <c r="F86" s="4">
        <v>5.0302002E7</v>
      </c>
    </row>
    <row r="87">
      <c r="A87" s="38">
        <v>813536.0</v>
      </c>
      <c r="B87" s="39" t="s">
        <v>422</v>
      </c>
      <c r="C87" s="39" t="s">
        <v>357</v>
      </c>
      <c r="D87" s="4" t="str">
        <f t="shared" si="1"/>
        <v>813536ARRIENDO</v>
      </c>
      <c r="E87" s="4">
        <v>3.305012006E9</v>
      </c>
      <c r="F87" s="4">
        <v>5.0302002E7</v>
      </c>
    </row>
    <row r="88">
      <c r="A88" s="38">
        <v>813536.0</v>
      </c>
      <c r="B88" s="39" t="s">
        <v>630</v>
      </c>
      <c r="C88" s="39" t="s">
        <v>357</v>
      </c>
      <c r="D88" s="4" t="str">
        <f t="shared" si="1"/>
        <v>813536ARRIENDO VARIABLE, ELECTRICIDAD</v>
      </c>
      <c r="E88" s="4">
        <v>3.305012006E9</v>
      </c>
      <c r="F88" s="4">
        <v>5.0302002E7</v>
      </c>
    </row>
    <row r="89">
      <c r="A89" s="38">
        <v>818541.0</v>
      </c>
      <c r="B89" s="39" t="s">
        <v>641</v>
      </c>
      <c r="C89" s="39" t="s">
        <v>537</v>
      </c>
      <c r="D89" s="4" t="str">
        <f t="shared" si="1"/>
        <v>818541ASEO MTTO</v>
      </c>
      <c r="E89" s="4">
        <v>3.305012006E9</v>
      </c>
      <c r="F89" s="4">
        <v>5.0302002E7</v>
      </c>
    </row>
    <row r="90">
      <c r="A90" s="38">
        <v>818541.0</v>
      </c>
      <c r="B90" s="39" t="s">
        <v>642</v>
      </c>
      <c r="C90" s="39" t="s">
        <v>537</v>
      </c>
      <c r="D90" s="4" t="str">
        <f t="shared" si="1"/>
        <v>818541MTTO</v>
      </c>
      <c r="E90" s="4">
        <v>3.305012006E9</v>
      </c>
      <c r="F90" s="4">
        <v>5.0302002E7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  <col customWidth="1" min="11" max="11" width="32.38"/>
  </cols>
  <sheetData>
    <row r="1">
      <c r="A1" s="68" t="s">
        <v>643</v>
      </c>
      <c r="B1" s="68" t="s">
        <v>546</v>
      </c>
      <c r="C1" s="68" t="s">
        <v>547</v>
      </c>
      <c r="D1" s="68" t="s">
        <v>644</v>
      </c>
      <c r="E1" s="68" t="s">
        <v>8</v>
      </c>
      <c r="F1" s="68" t="s">
        <v>645</v>
      </c>
      <c r="G1" s="68" t="s">
        <v>646</v>
      </c>
      <c r="H1" s="68" t="s">
        <v>647</v>
      </c>
      <c r="I1" s="68" t="s">
        <v>648</v>
      </c>
      <c r="J1" s="68" t="s">
        <v>649</v>
      </c>
      <c r="K1" s="68" t="s">
        <v>546</v>
      </c>
    </row>
    <row r="2">
      <c r="A2" s="69">
        <v>32.0</v>
      </c>
      <c r="B2" s="70" t="s">
        <v>510</v>
      </c>
      <c r="C2" s="71" t="s">
        <v>581</v>
      </c>
      <c r="D2" s="72"/>
      <c r="E2" s="69">
        <v>4.1001095E7</v>
      </c>
      <c r="F2" s="71" t="s">
        <v>650</v>
      </c>
      <c r="G2" s="73">
        <v>4147.0</v>
      </c>
      <c r="H2" s="74">
        <v>45532.0</v>
      </c>
      <c r="I2" s="74">
        <v>47358.0</v>
      </c>
      <c r="J2" s="75"/>
      <c r="K2" s="70" t="s">
        <v>510</v>
      </c>
    </row>
    <row r="3">
      <c r="A3" s="69">
        <v>31.0</v>
      </c>
      <c r="B3" s="70" t="s">
        <v>487</v>
      </c>
      <c r="C3" s="71" t="s">
        <v>571</v>
      </c>
      <c r="D3" s="72"/>
      <c r="E3" s="69">
        <v>4.1001098E7</v>
      </c>
      <c r="F3" s="71" t="s">
        <v>650</v>
      </c>
      <c r="G3" s="76">
        <v>4148.0</v>
      </c>
      <c r="H3" s="74">
        <v>45512.0</v>
      </c>
      <c r="I3" s="74">
        <v>47338.0</v>
      </c>
      <c r="J3" s="75"/>
      <c r="K3" s="70" t="s">
        <v>487</v>
      </c>
    </row>
    <row r="4">
      <c r="A4" s="69">
        <v>34.0</v>
      </c>
      <c r="B4" s="71" t="s">
        <v>445</v>
      </c>
      <c r="C4" s="71" t="s">
        <v>552</v>
      </c>
      <c r="D4" s="72"/>
      <c r="E4" s="73">
        <v>4.1003113E7</v>
      </c>
      <c r="F4" s="77" t="s">
        <v>650</v>
      </c>
      <c r="G4" s="73">
        <v>4149.0</v>
      </c>
      <c r="H4" s="74">
        <v>45551.0</v>
      </c>
      <c r="I4" s="74">
        <v>47012.0</v>
      </c>
      <c r="J4" s="75"/>
      <c r="K4" s="71" t="s">
        <v>445</v>
      </c>
    </row>
    <row r="5">
      <c r="A5" s="69">
        <v>33.0</v>
      </c>
      <c r="B5" s="71" t="s">
        <v>459</v>
      </c>
      <c r="C5" s="71" t="s">
        <v>557</v>
      </c>
      <c r="D5" s="72"/>
      <c r="E5" s="73">
        <v>4.1003116E7</v>
      </c>
      <c r="F5" s="71" t="s">
        <v>650</v>
      </c>
      <c r="G5" s="73">
        <v>4150.0</v>
      </c>
      <c r="H5" s="74">
        <v>45545.0</v>
      </c>
      <c r="I5" s="74">
        <v>47006.0</v>
      </c>
      <c r="J5" s="75"/>
      <c r="K5" s="71" t="s">
        <v>459</v>
      </c>
    </row>
    <row r="6">
      <c r="A6" s="69">
        <v>36.0</v>
      </c>
      <c r="B6" s="71" t="s">
        <v>524</v>
      </c>
      <c r="C6" s="71" t="s">
        <v>585</v>
      </c>
      <c r="D6" s="72"/>
      <c r="E6" s="73">
        <v>4.1001152E7</v>
      </c>
      <c r="F6" s="77" t="s">
        <v>650</v>
      </c>
      <c r="G6" s="73">
        <v>4151.0</v>
      </c>
      <c r="H6" s="74">
        <v>45582.0</v>
      </c>
      <c r="I6" s="74">
        <v>47408.0</v>
      </c>
      <c r="J6" s="75"/>
      <c r="K6" s="71" t="s">
        <v>524</v>
      </c>
    </row>
    <row r="7">
      <c r="A7" s="69">
        <v>35.0</v>
      </c>
      <c r="B7" s="71" t="s">
        <v>479</v>
      </c>
      <c r="C7" s="71" t="s">
        <v>567</v>
      </c>
      <c r="D7" s="72"/>
      <c r="E7" s="73">
        <v>4.1003117E7</v>
      </c>
      <c r="F7" s="77" t="s">
        <v>650</v>
      </c>
      <c r="G7" s="73">
        <v>4152.0</v>
      </c>
      <c r="H7" s="74">
        <v>45589.0</v>
      </c>
      <c r="I7" s="74">
        <v>47050.0</v>
      </c>
      <c r="J7" s="72"/>
      <c r="K7" s="71" t="s">
        <v>479</v>
      </c>
    </row>
    <row r="8">
      <c r="A8" s="69">
        <v>38.0</v>
      </c>
      <c r="B8" s="71" t="s">
        <v>480</v>
      </c>
      <c r="C8" s="71" t="s">
        <v>568</v>
      </c>
      <c r="D8" s="72"/>
      <c r="E8" s="73">
        <v>4.1001156E7</v>
      </c>
      <c r="F8" s="77" t="s">
        <v>650</v>
      </c>
      <c r="G8" s="73">
        <v>4153.0</v>
      </c>
      <c r="H8" s="74">
        <v>45615.0</v>
      </c>
      <c r="I8" s="74">
        <v>47076.0</v>
      </c>
      <c r="J8" s="72"/>
      <c r="K8" s="71" t="s">
        <v>480</v>
      </c>
    </row>
    <row r="9">
      <c r="A9" s="69">
        <v>37.0</v>
      </c>
      <c r="B9" s="71" t="s">
        <v>544</v>
      </c>
      <c r="C9" s="71" t="s">
        <v>593</v>
      </c>
      <c r="D9" s="72"/>
      <c r="E9" s="73">
        <v>4.1003118E7</v>
      </c>
      <c r="F9" s="77" t="s">
        <v>650</v>
      </c>
      <c r="G9" s="73">
        <v>4154.0</v>
      </c>
      <c r="H9" s="74">
        <v>45610.0</v>
      </c>
      <c r="I9" s="74">
        <v>47071.0</v>
      </c>
      <c r="J9" s="72"/>
      <c r="K9" s="71" t="s">
        <v>544</v>
      </c>
    </row>
    <row r="10">
      <c r="A10" s="69">
        <v>39.0</v>
      </c>
      <c r="B10" s="71" t="s">
        <v>526</v>
      </c>
      <c r="C10" s="71" t="s">
        <v>586</v>
      </c>
      <c r="D10" s="72"/>
      <c r="E10" s="73">
        <v>4.1001161E7</v>
      </c>
      <c r="F10" s="78" t="s">
        <v>650</v>
      </c>
      <c r="G10" s="73">
        <v>4155.0</v>
      </c>
      <c r="H10" s="74">
        <v>45623.0</v>
      </c>
      <c r="I10" s="74">
        <v>47084.0</v>
      </c>
      <c r="J10" s="72"/>
      <c r="K10" s="71" t="s">
        <v>526</v>
      </c>
    </row>
    <row r="11">
      <c r="A11" s="69">
        <v>40.0</v>
      </c>
      <c r="B11" s="71" t="s">
        <v>538</v>
      </c>
      <c r="C11" s="71" t="s">
        <v>591</v>
      </c>
      <c r="D11" s="72"/>
      <c r="E11" s="73">
        <v>4.1001164E7</v>
      </c>
      <c r="F11" s="78" t="s">
        <v>650</v>
      </c>
      <c r="G11" s="73">
        <v>4156.0</v>
      </c>
      <c r="H11" s="74">
        <v>45638.0</v>
      </c>
      <c r="I11" s="74">
        <v>47099.0</v>
      </c>
      <c r="J11" s="79"/>
      <c r="K11" s="71" t="s">
        <v>538</v>
      </c>
    </row>
    <row r="12">
      <c r="A12" s="69">
        <v>45.0</v>
      </c>
      <c r="B12" s="70" t="s">
        <v>651</v>
      </c>
      <c r="C12" s="71" t="s">
        <v>652</v>
      </c>
      <c r="D12" s="72"/>
      <c r="E12" s="73">
        <v>4.1001176E7</v>
      </c>
      <c r="F12" s="80" t="s">
        <v>650</v>
      </c>
      <c r="G12" s="73">
        <v>4157.0</v>
      </c>
      <c r="H12" s="74">
        <v>45806.0</v>
      </c>
      <c r="I12" s="72"/>
      <c r="J12" s="72"/>
      <c r="K12" s="70" t="s">
        <v>651</v>
      </c>
    </row>
    <row r="13">
      <c r="A13" s="69">
        <v>44.0</v>
      </c>
      <c r="B13" s="70" t="s">
        <v>462</v>
      </c>
      <c r="C13" s="71" t="s">
        <v>559</v>
      </c>
      <c r="D13" s="72"/>
      <c r="E13" s="81">
        <v>4.1001177E7</v>
      </c>
      <c r="F13" s="80" t="s">
        <v>650</v>
      </c>
      <c r="G13" s="73">
        <v>4158.0</v>
      </c>
      <c r="H13" s="74">
        <v>45797.0</v>
      </c>
      <c r="I13" s="72"/>
      <c r="J13" s="72"/>
      <c r="K13" s="70" t="s">
        <v>462</v>
      </c>
    </row>
    <row r="14">
      <c r="A14" s="69">
        <v>47.0</v>
      </c>
      <c r="B14" s="70" t="s">
        <v>461</v>
      </c>
      <c r="C14" s="71" t="s">
        <v>558</v>
      </c>
      <c r="D14" s="72"/>
      <c r="E14" s="81">
        <v>4.1001181E7</v>
      </c>
      <c r="F14" s="80" t="s">
        <v>650</v>
      </c>
      <c r="G14" s="73">
        <v>4159.0</v>
      </c>
      <c r="H14" s="74">
        <v>45841.0</v>
      </c>
      <c r="I14" s="72"/>
      <c r="J14" s="72"/>
      <c r="K14" s="70" t="s">
        <v>461</v>
      </c>
    </row>
    <row r="15">
      <c r="A15" s="69">
        <v>41.0</v>
      </c>
      <c r="B15" s="70" t="s">
        <v>427</v>
      </c>
      <c r="C15" s="71" t="s">
        <v>548</v>
      </c>
      <c r="D15" s="72"/>
      <c r="E15" s="82">
        <v>4.1001163E7</v>
      </c>
      <c r="F15" s="83" t="s">
        <v>650</v>
      </c>
      <c r="G15" s="73">
        <v>4160.0</v>
      </c>
      <c r="H15" s="74">
        <v>46007.0</v>
      </c>
      <c r="I15" s="72"/>
      <c r="J15" s="72"/>
      <c r="K15" s="70" t="s">
        <v>427</v>
      </c>
    </row>
    <row r="16">
      <c r="A16" s="69">
        <v>1.0</v>
      </c>
      <c r="B16" s="70" t="s">
        <v>506</v>
      </c>
      <c r="C16" s="71" t="s">
        <v>579</v>
      </c>
      <c r="D16" s="70" t="s">
        <v>653</v>
      </c>
      <c r="E16" s="69">
        <v>4.1003043E7</v>
      </c>
      <c r="F16" s="71" t="s">
        <v>650</v>
      </c>
      <c r="G16" s="84">
        <v>4161.0</v>
      </c>
      <c r="H16" s="74">
        <v>43070.0</v>
      </c>
      <c r="I16" s="74">
        <v>45992.0</v>
      </c>
      <c r="J16" s="75"/>
      <c r="K16" s="70" t="s">
        <v>506</v>
      </c>
    </row>
    <row r="17">
      <c r="A17" s="69">
        <v>2.0</v>
      </c>
      <c r="B17" s="70" t="s">
        <v>456</v>
      </c>
      <c r="C17" s="71" t="s">
        <v>556</v>
      </c>
      <c r="D17" s="70" t="s">
        <v>654</v>
      </c>
      <c r="E17" s="69">
        <v>4.1003042E7</v>
      </c>
      <c r="F17" s="71" t="s">
        <v>650</v>
      </c>
      <c r="G17" s="84">
        <v>4162.0</v>
      </c>
      <c r="H17" s="74">
        <v>43453.0</v>
      </c>
      <c r="I17" s="74">
        <v>47391.0</v>
      </c>
      <c r="J17" s="74">
        <v>45626.0</v>
      </c>
      <c r="K17" s="70" t="s">
        <v>456</v>
      </c>
    </row>
    <row r="18">
      <c r="A18" s="69">
        <v>3.0</v>
      </c>
      <c r="B18" s="70" t="s">
        <v>499</v>
      </c>
      <c r="C18" s="71" t="s">
        <v>576</v>
      </c>
      <c r="D18" s="70" t="s">
        <v>654</v>
      </c>
      <c r="E18" s="69">
        <v>4.1003008E7</v>
      </c>
      <c r="F18" s="71" t="s">
        <v>650</v>
      </c>
      <c r="G18" s="84">
        <v>4163.0</v>
      </c>
      <c r="H18" s="74">
        <v>44181.0</v>
      </c>
      <c r="I18" s="85">
        <v>45858.0</v>
      </c>
      <c r="J18" s="75"/>
      <c r="K18" s="70" t="s">
        <v>499</v>
      </c>
    </row>
    <row r="19">
      <c r="A19" s="69">
        <v>4.0</v>
      </c>
      <c r="B19" s="70" t="s">
        <v>508</v>
      </c>
      <c r="C19" s="71" t="s">
        <v>580</v>
      </c>
      <c r="D19" s="71" t="s">
        <v>655</v>
      </c>
      <c r="E19" s="69">
        <v>4.1003009E7</v>
      </c>
      <c r="F19" s="71" t="s">
        <v>650</v>
      </c>
      <c r="G19" s="84">
        <v>4164.0</v>
      </c>
      <c r="H19" s="74">
        <v>44405.0</v>
      </c>
      <c r="I19" s="85">
        <v>46126.0</v>
      </c>
      <c r="J19" s="75"/>
      <c r="K19" s="70" t="s">
        <v>508</v>
      </c>
    </row>
    <row r="20">
      <c r="A20" s="69">
        <v>7.0</v>
      </c>
      <c r="B20" s="70" t="s">
        <v>517</v>
      </c>
      <c r="C20" s="71" t="s">
        <v>583</v>
      </c>
      <c r="D20" s="71" t="s">
        <v>656</v>
      </c>
      <c r="E20" s="69">
        <v>4.100301E7</v>
      </c>
      <c r="F20" s="71" t="s">
        <v>650</v>
      </c>
      <c r="G20" s="84">
        <v>4165.0</v>
      </c>
      <c r="H20" s="74">
        <v>44593.0</v>
      </c>
      <c r="I20" s="85">
        <v>46369.0</v>
      </c>
      <c r="J20" s="75"/>
      <c r="K20" s="70" t="s">
        <v>517</v>
      </c>
    </row>
    <row r="21">
      <c r="A21" s="69">
        <v>5.0</v>
      </c>
      <c r="B21" s="70" t="s">
        <v>521</v>
      </c>
      <c r="C21" s="71" t="s">
        <v>584</v>
      </c>
      <c r="D21" s="70" t="s">
        <v>654</v>
      </c>
      <c r="E21" s="69">
        <v>4.1003011E7</v>
      </c>
      <c r="F21" s="71" t="s">
        <v>650</v>
      </c>
      <c r="G21" s="84">
        <v>4166.0</v>
      </c>
      <c r="H21" s="74">
        <v>44518.0</v>
      </c>
      <c r="I21" s="85">
        <v>45838.0</v>
      </c>
      <c r="J21" s="75"/>
      <c r="K21" s="70" t="s">
        <v>521</v>
      </c>
    </row>
    <row r="22">
      <c r="A22" s="69">
        <v>6.0</v>
      </c>
      <c r="B22" s="71" t="s">
        <v>465</v>
      </c>
      <c r="C22" s="71" t="s">
        <v>561</v>
      </c>
      <c r="D22" s="71" t="s">
        <v>656</v>
      </c>
      <c r="E22" s="69">
        <v>4.1003016E7</v>
      </c>
      <c r="F22" s="71" t="s">
        <v>650</v>
      </c>
      <c r="G22" s="84">
        <v>4168.0</v>
      </c>
      <c r="H22" s="74">
        <v>44531.0</v>
      </c>
      <c r="I22" s="85">
        <v>45822.0</v>
      </c>
      <c r="J22" s="75"/>
      <c r="K22" s="71" t="s">
        <v>465</v>
      </c>
    </row>
    <row r="23">
      <c r="A23" s="69">
        <v>8.0</v>
      </c>
      <c r="B23" s="70" t="s">
        <v>463</v>
      </c>
      <c r="C23" s="71" t="s">
        <v>560</v>
      </c>
      <c r="D23" s="70" t="s">
        <v>654</v>
      </c>
      <c r="E23" s="69">
        <v>4.1003017E7</v>
      </c>
      <c r="F23" s="71" t="s">
        <v>650</v>
      </c>
      <c r="G23" s="84">
        <v>4169.0</v>
      </c>
      <c r="H23" s="74">
        <v>44655.0</v>
      </c>
      <c r="I23" s="85">
        <v>46356.0</v>
      </c>
      <c r="J23" s="75"/>
      <c r="K23" s="70" t="s">
        <v>463</v>
      </c>
    </row>
    <row r="24">
      <c r="A24" s="69">
        <v>9.0</v>
      </c>
      <c r="B24" s="71" t="s">
        <v>476</v>
      </c>
      <c r="C24" s="71" t="s">
        <v>566</v>
      </c>
      <c r="D24" s="70" t="s">
        <v>654</v>
      </c>
      <c r="E24" s="69">
        <v>4.1003019E7</v>
      </c>
      <c r="F24" s="71" t="s">
        <v>650</v>
      </c>
      <c r="G24" s="84">
        <v>4170.0</v>
      </c>
      <c r="H24" s="74">
        <v>44715.0</v>
      </c>
      <c r="I24" s="86">
        <v>46754.0</v>
      </c>
      <c r="J24" s="75"/>
      <c r="K24" s="71" t="s">
        <v>476</v>
      </c>
    </row>
    <row r="25">
      <c r="A25" s="69">
        <v>10.0</v>
      </c>
      <c r="B25" s="70" t="s">
        <v>489</v>
      </c>
      <c r="C25" s="71" t="s">
        <v>572</v>
      </c>
      <c r="D25" s="71" t="s">
        <v>656</v>
      </c>
      <c r="E25" s="69">
        <v>4.1003021E7</v>
      </c>
      <c r="F25" s="71" t="s">
        <v>650</v>
      </c>
      <c r="G25" s="84">
        <v>4171.0</v>
      </c>
      <c r="H25" s="74">
        <v>44784.0</v>
      </c>
      <c r="I25" s="86">
        <v>46610.0</v>
      </c>
      <c r="J25" s="75"/>
      <c r="K25" s="70" t="s">
        <v>489</v>
      </c>
    </row>
    <row r="26">
      <c r="A26" s="69">
        <v>14.0</v>
      </c>
      <c r="B26" s="71" t="s">
        <v>472</v>
      </c>
      <c r="C26" s="71" t="s">
        <v>564</v>
      </c>
      <c r="D26" s="71" t="s">
        <v>656</v>
      </c>
      <c r="E26" s="69">
        <v>4.1003024E7</v>
      </c>
      <c r="F26" s="77" t="s">
        <v>650</v>
      </c>
      <c r="G26" s="84">
        <v>4172.0</v>
      </c>
      <c r="H26" s="74">
        <v>44931.0</v>
      </c>
      <c r="I26" s="85">
        <v>46392.0</v>
      </c>
      <c r="J26" s="75"/>
      <c r="K26" s="71" t="s">
        <v>472</v>
      </c>
    </row>
    <row r="27">
      <c r="A27" s="69">
        <v>12.0</v>
      </c>
      <c r="B27" s="70" t="s">
        <v>514</v>
      </c>
      <c r="C27" s="71" t="s">
        <v>582</v>
      </c>
      <c r="D27" s="71" t="s">
        <v>656</v>
      </c>
      <c r="E27" s="69">
        <v>4.1003022E7</v>
      </c>
      <c r="F27" s="77" t="s">
        <v>650</v>
      </c>
      <c r="G27" s="84">
        <v>4173.0</v>
      </c>
      <c r="H27" s="74">
        <v>44890.0</v>
      </c>
      <c r="I27" s="86">
        <v>46716.0</v>
      </c>
      <c r="J27" s="75"/>
      <c r="K27" s="70" t="s">
        <v>514</v>
      </c>
    </row>
    <row r="28">
      <c r="A28" s="69">
        <v>11.0</v>
      </c>
      <c r="B28" s="70" t="s">
        <v>474</v>
      </c>
      <c r="C28" s="71" t="s">
        <v>565</v>
      </c>
      <c r="D28" s="71" t="s">
        <v>656</v>
      </c>
      <c r="E28" s="69">
        <v>4.100302E7</v>
      </c>
      <c r="F28" s="71" t="s">
        <v>650</v>
      </c>
      <c r="G28" s="84">
        <v>4175.0</v>
      </c>
      <c r="H28" s="74">
        <v>44846.0</v>
      </c>
      <c r="I28" s="85">
        <v>46307.0</v>
      </c>
      <c r="J28" s="75"/>
      <c r="K28" s="70" t="s">
        <v>474</v>
      </c>
    </row>
    <row r="29">
      <c r="A29" s="69">
        <v>15.0</v>
      </c>
      <c r="B29" s="87" t="s">
        <v>519</v>
      </c>
      <c r="C29" s="70" t="s">
        <v>264</v>
      </c>
      <c r="D29" s="70" t="s">
        <v>654</v>
      </c>
      <c r="E29" s="88">
        <v>4.1003013E7</v>
      </c>
      <c r="F29" s="89" t="s">
        <v>650</v>
      </c>
      <c r="G29" s="90">
        <v>4176.0</v>
      </c>
      <c r="H29" s="91">
        <v>45138.0</v>
      </c>
      <c r="I29" s="86">
        <v>46599.0</v>
      </c>
      <c r="J29" s="92"/>
      <c r="K29" s="87" t="s">
        <v>519</v>
      </c>
    </row>
    <row r="30">
      <c r="A30" s="69">
        <v>13.0</v>
      </c>
      <c r="B30" s="71" t="s">
        <v>468</v>
      </c>
      <c r="C30" s="71" t="s">
        <v>562</v>
      </c>
      <c r="D30" s="71" t="s">
        <v>656</v>
      </c>
      <c r="E30" s="69">
        <v>4.1003023E7</v>
      </c>
      <c r="F30" s="77" t="s">
        <v>650</v>
      </c>
      <c r="G30" s="84">
        <v>4177.0</v>
      </c>
      <c r="H30" s="74">
        <v>44915.0</v>
      </c>
      <c r="I30" s="85">
        <v>46376.0</v>
      </c>
      <c r="J30" s="75"/>
      <c r="K30" s="71" t="s">
        <v>468</v>
      </c>
    </row>
    <row r="31">
      <c r="A31" s="69">
        <v>26.0</v>
      </c>
      <c r="B31" s="70" t="s">
        <v>512</v>
      </c>
      <c r="C31" s="71" t="s">
        <v>582</v>
      </c>
      <c r="D31" s="72"/>
      <c r="E31" s="93">
        <v>4.1001096E7</v>
      </c>
      <c r="F31" s="77" t="s">
        <v>650</v>
      </c>
      <c r="G31" s="76">
        <v>4178.0</v>
      </c>
      <c r="H31" s="74">
        <v>45412.0</v>
      </c>
      <c r="I31" s="74">
        <f>H31+(365*5)</f>
        <v>47237</v>
      </c>
      <c r="J31" s="75"/>
      <c r="K31" s="70" t="s">
        <v>512</v>
      </c>
    </row>
    <row r="32">
      <c r="A32" s="69">
        <v>29.0</v>
      </c>
      <c r="B32" s="70" t="s">
        <v>485</v>
      </c>
      <c r="C32" s="71" t="s">
        <v>570</v>
      </c>
      <c r="D32" s="72"/>
      <c r="E32" s="69">
        <v>4.1001097E7</v>
      </c>
      <c r="F32" s="71" t="s">
        <v>650</v>
      </c>
      <c r="G32" s="76">
        <v>4179.0</v>
      </c>
      <c r="H32" s="74">
        <v>45482.0</v>
      </c>
      <c r="I32" s="74">
        <v>47308.0</v>
      </c>
      <c r="J32" s="75"/>
      <c r="K32" s="70" t="s">
        <v>485</v>
      </c>
    </row>
    <row r="33">
      <c r="A33" s="69">
        <v>17.0</v>
      </c>
      <c r="B33" s="70" t="s">
        <v>494</v>
      </c>
      <c r="C33" s="70" t="s">
        <v>574</v>
      </c>
      <c r="D33" s="70" t="s">
        <v>654</v>
      </c>
      <c r="E33" s="88">
        <v>4.1003027E7</v>
      </c>
      <c r="F33" s="89" t="s">
        <v>650</v>
      </c>
      <c r="G33" s="94">
        <v>4180.0</v>
      </c>
      <c r="H33" s="91">
        <v>45217.0</v>
      </c>
      <c r="I33" s="91">
        <v>47044.0</v>
      </c>
      <c r="J33" s="92"/>
      <c r="K33" s="70" t="s">
        <v>494</v>
      </c>
    </row>
    <row r="34">
      <c r="A34" s="69">
        <v>18.0</v>
      </c>
      <c r="B34" s="70" t="s">
        <v>497</v>
      </c>
      <c r="C34" s="70" t="s">
        <v>575</v>
      </c>
      <c r="D34" s="70" t="s">
        <v>654</v>
      </c>
      <c r="E34" s="88">
        <v>4.1003026E7</v>
      </c>
      <c r="F34" s="89" t="s">
        <v>650</v>
      </c>
      <c r="G34" s="88">
        <v>4181.0</v>
      </c>
      <c r="H34" s="91">
        <v>45148.0</v>
      </c>
      <c r="I34" s="91">
        <v>46975.0</v>
      </c>
      <c r="J34" s="92"/>
      <c r="K34" s="70" t="s">
        <v>497</v>
      </c>
    </row>
    <row r="35">
      <c r="A35" s="69">
        <v>16.0</v>
      </c>
      <c r="B35" s="70" t="s">
        <v>541</v>
      </c>
      <c r="C35" s="70" t="s">
        <v>592</v>
      </c>
      <c r="D35" s="70" t="s">
        <v>656</v>
      </c>
      <c r="E35" s="88">
        <v>4.1003028E7</v>
      </c>
      <c r="F35" s="89" t="s">
        <v>650</v>
      </c>
      <c r="G35" s="90">
        <v>4182.0</v>
      </c>
      <c r="H35" s="91">
        <v>45121.0</v>
      </c>
      <c r="I35" s="86">
        <v>46582.0</v>
      </c>
      <c r="J35" s="92"/>
      <c r="K35" s="70" t="s">
        <v>541</v>
      </c>
    </row>
    <row r="36">
      <c r="A36" s="69">
        <v>19.0</v>
      </c>
      <c r="B36" s="70" t="s">
        <v>491</v>
      </c>
      <c r="C36" s="70" t="s">
        <v>573</v>
      </c>
      <c r="D36" s="70" t="s">
        <v>656</v>
      </c>
      <c r="E36" s="88">
        <v>4.1003029E7</v>
      </c>
      <c r="F36" s="89" t="s">
        <v>650</v>
      </c>
      <c r="G36" s="88">
        <v>4183.0</v>
      </c>
      <c r="H36" s="91">
        <v>45145.0</v>
      </c>
      <c r="I36" s="91">
        <v>46972.0</v>
      </c>
      <c r="J36" s="92"/>
      <c r="K36" s="70" t="s">
        <v>491</v>
      </c>
    </row>
    <row r="37">
      <c r="A37" s="69">
        <v>23.0</v>
      </c>
      <c r="B37" s="87" t="s">
        <v>657</v>
      </c>
      <c r="C37" s="70" t="s">
        <v>658</v>
      </c>
      <c r="D37" s="70" t="s">
        <v>654</v>
      </c>
      <c r="E37" s="88">
        <v>4.1001093E7</v>
      </c>
      <c r="F37" s="89" t="s">
        <v>650</v>
      </c>
      <c r="G37" s="88">
        <v>4184.0</v>
      </c>
      <c r="H37" s="91">
        <v>45169.0</v>
      </c>
      <c r="I37" s="86">
        <v>46630.0</v>
      </c>
      <c r="J37" s="92"/>
      <c r="K37" s="87" t="s">
        <v>657</v>
      </c>
    </row>
    <row r="38">
      <c r="A38" s="69">
        <v>20.0</v>
      </c>
      <c r="B38" s="70" t="s">
        <v>482</v>
      </c>
      <c r="C38" s="70" t="s">
        <v>569</v>
      </c>
      <c r="D38" s="70" t="s">
        <v>656</v>
      </c>
      <c r="E38" s="88">
        <v>4.1001101E7</v>
      </c>
      <c r="F38" s="89" t="s">
        <v>650</v>
      </c>
      <c r="G38" s="88">
        <v>4185.0</v>
      </c>
      <c r="H38" s="91">
        <v>45183.0</v>
      </c>
      <c r="I38" s="86">
        <v>46644.0</v>
      </c>
      <c r="J38" s="92"/>
      <c r="K38" s="70" t="s">
        <v>482</v>
      </c>
    </row>
    <row r="39">
      <c r="A39" s="69">
        <v>21.0</v>
      </c>
      <c r="B39" s="70" t="s">
        <v>535</v>
      </c>
      <c r="C39" s="70" t="s">
        <v>590</v>
      </c>
      <c r="D39" s="70" t="s">
        <v>656</v>
      </c>
      <c r="E39" s="88">
        <v>4.100303E7</v>
      </c>
      <c r="F39" s="89" t="s">
        <v>650</v>
      </c>
      <c r="G39" s="88">
        <v>4186.0</v>
      </c>
      <c r="H39" s="91">
        <v>45209.0</v>
      </c>
      <c r="I39" s="86">
        <v>46670.0</v>
      </c>
      <c r="J39" s="92"/>
      <c r="K39" s="70" t="s">
        <v>535</v>
      </c>
    </row>
    <row r="40">
      <c r="A40" s="69">
        <v>22.0</v>
      </c>
      <c r="B40" s="70" t="s">
        <v>529</v>
      </c>
      <c r="C40" s="70" t="s">
        <v>587</v>
      </c>
      <c r="D40" s="70" t="s">
        <v>656</v>
      </c>
      <c r="E40" s="88">
        <v>4.1003048E7</v>
      </c>
      <c r="F40" s="89" t="s">
        <v>650</v>
      </c>
      <c r="G40" s="88">
        <v>4187.0</v>
      </c>
      <c r="H40" s="91">
        <v>45253.0</v>
      </c>
      <c r="I40" s="86">
        <v>46714.0</v>
      </c>
      <c r="J40" s="92"/>
      <c r="K40" s="70" t="s">
        <v>529</v>
      </c>
    </row>
    <row r="41">
      <c r="A41" s="69">
        <v>24.0</v>
      </c>
      <c r="B41" s="95" t="s">
        <v>531</v>
      </c>
      <c r="C41" s="95" t="s">
        <v>588</v>
      </c>
      <c r="D41" s="95" t="s">
        <v>654</v>
      </c>
      <c r="E41" s="96">
        <v>4.1001094E7</v>
      </c>
      <c r="F41" s="97" t="s">
        <v>650</v>
      </c>
      <c r="G41" s="88">
        <v>4188.0</v>
      </c>
      <c r="H41" s="98">
        <v>45252.0</v>
      </c>
      <c r="I41" s="99">
        <v>46713.0</v>
      </c>
      <c r="J41" s="100"/>
      <c r="K41" s="95" t="s">
        <v>531</v>
      </c>
    </row>
    <row r="42">
      <c r="A42" s="69">
        <v>25.0</v>
      </c>
      <c r="B42" s="101" t="s">
        <v>447</v>
      </c>
      <c r="C42" s="95" t="s">
        <v>553</v>
      </c>
      <c r="D42" s="70" t="s">
        <v>654</v>
      </c>
      <c r="E42" s="88">
        <v>4.1001099E7</v>
      </c>
      <c r="F42" s="89" t="s">
        <v>650</v>
      </c>
      <c r="G42" s="88">
        <v>4189.0</v>
      </c>
      <c r="H42" s="91">
        <v>45265.0</v>
      </c>
      <c r="I42" s="86">
        <v>46726.0</v>
      </c>
      <c r="J42" s="92"/>
      <c r="K42" s="101" t="s">
        <v>447</v>
      </c>
    </row>
    <row r="43">
      <c r="A43" s="69">
        <v>27.0</v>
      </c>
      <c r="B43" s="102" t="s">
        <v>470</v>
      </c>
      <c r="C43" s="103" t="s">
        <v>563</v>
      </c>
      <c r="D43" s="72"/>
      <c r="E43" s="69">
        <v>4.1003112E7</v>
      </c>
      <c r="F43" s="71" t="s">
        <v>650</v>
      </c>
      <c r="G43" s="76">
        <v>4190.0</v>
      </c>
      <c r="H43" s="74">
        <v>45461.0</v>
      </c>
      <c r="I43" s="74">
        <v>46922.0</v>
      </c>
      <c r="J43" s="75"/>
      <c r="K43" s="102" t="s">
        <v>470</v>
      </c>
    </row>
    <row r="44">
      <c r="A44" s="69">
        <v>28.0</v>
      </c>
      <c r="B44" s="102" t="s">
        <v>438</v>
      </c>
      <c r="C44" s="103" t="s">
        <v>549</v>
      </c>
      <c r="D44" s="72"/>
      <c r="E44" s="73">
        <v>4.1003115E7</v>
      </c>
      <c r="F44" s="71" t="s">
        <v>650</v>
      </c>
      <c r="G44" s="76">
        <v>4191.0</v>
      </c>
      <c r="H44" s="74">
        <v>45497.0</v>
      </c>
      <c r="I44" s="74">
        <v>46958.0</v>
      </c>
      <c r="J44" s="75"/>
      <c r="K44" s="102" t="s">
        <v>438</v>
      </c>
    </row>
    <row r="45">
      <c r="A45" s="69">
        <v>30.0</v>
      </c>
      <c r="B45" s="101" t="s">
        <v>533</v>
      </c>
      <c r="C45" s="103" t="s">
        <v>589</v>
      </c>
      <c r="D45" s="72"/>
      <c r="E45" s="73">
        <v>4.1003114E7</v>
      </c>
      <c r="F45" s="71" t="s">
        <v>650</v>
      </c>
      <c r="G45" s="76">
        <v>4192.0</v>
      </c>
      <c r="H45" s="74">
        <v>45499.0</v>
      </c>
      <c r="I45" s="74">
        <v>46960.0</v>
      </c>
      <c r="J45" s="75"/>
      <c r="K45" s="101" t="s">
        <v>533</v>
      </c>
    </row>
    <row r="46">
      <c r="A46" s="69">
        <v>42.0</v>
      </c>
      <c r="B46" s="101" t="s">
        <v>502</v>
      </c>
      <c r="C46" s="103" t="s">
        <v>577</v>
      </c>
      <c r="D46" s="72"/>
      <c r="E46" s="81">
        <v>4.1001169E7</v>
      </c>
      <c r="F46" s="80" t="s">
        <v>650</v>
      </c>
      <c r="G46" s="73">
        <v>4193.0</v>
      </c>
      <c r="H46" s="74">
        <v>45834.0</v>
      </c>
      <c r="I46" s="72"/>
      <c r="J46" s="72"/>
      <c r="K46" s="101" t="s">
        <v>502</v>
      </c>
    </row>
    <row r="47">
      <c r="A47" s="104">
        <v>43.0</v>
      </c>
      <c r="B47" s="101" t="s">
        <v>504</v>
      </c>
      <c r="C47" s="103" t="s">
        <v>578</v>
      </c>
      <c r="D47" s="105"/>
      <c r="E47" s="106">
        <v>4.100117E7</v>
      </c>
      <c r="F47" s="83" t="s">
        <v>650</v>
      </c>
      <c r="G47" s="73">
        <v>4194.0</v>
      </c>
      <c r="H47" s="107">
        <v>45939.0</v>
      </c>
      <c r="I47" s="105"/>
      <c r="J47" s="105"/>
      <c r="K47" s="101" t="s">
        <v>504</v>
      </c>
    </row>
    <row r="48">
      <c r="A48" s="69">
        <v>46.0</v>
      </c>
      <c r="B48" s="101" t="s">
        <v>659</v>
      </c>
      <c r="C48" s="103" t="s">
        <v>660</v>
      </c>
      <c r="D48" s="105"/>
      <c r="E48" s="106">
        <v>4.100118E7</v>
      </c>
      <c r="F48" s="80" t="s">
        <v>650</v>
      </c>
      <c r="G48" s="73">
        <v>4195.0</v>
      </c>
      <c r="H48" s="107">
        <v>45981.0</v>
      </c>
      <c r="I48" s="105"/>
      <c r="J48" s="105"/>
      <c r="K48" s="101" t="s">
        <v>659</v>
      </c>
    </row>
    <row r="49">
      <c r="A49" s="93">
        <v>49.0</v>
      </c>
      <c r="B49" s="70" t="s">
        <v>440</v>
      </c>
      <c r="C49" s="108" t="s">
        <v>550</v>
      </c>
      <c r="D49" s="105"/>
      <c r="E49" s="106">
        <v>4.1001189E7</v>
      </c>
      <c r="F49" s="80" t="s">
        <v>650</v>
      </c>
      <c r="G49" s="73">
        <v>4196.0</v>
      </c>
      <c r="H49" s="107">
        <v>45904.0</v>
      </c>
      <c r="I49" s="105"/>
      <c r="J49" s="105"/>
      <c r="K49" s="70" t="s">
        <v>440</v>
      </c>
    </row>
    <row r="50">
      <c r="A50" s="69">
        <v>48.0</v>
      </c>
      <c r="B50" s="109" t="s">
        <v>443</v>
      </c>
      <c r="C50" s="110" t="s">
        <v>551</v>
      </c>
      <c r="D50" s="72"/>
      <c r="E50" s="81">
        <v>4.1001184E7</v>
      </c>
      <c r="F50" s="80" t="s">
        <v>650</v>
      </c>
      <c r="G50" s="73">
        <v>4197.0</v>
      </c>
      <c r="H50" s="74">
        <v>45911.0</v>
      </c>
      <c r="I50" s="72"/>
      <c r="J50" s="72"/>
      <c r="K50" s="109" t="s">
        <v>443</v>
      </c>
    </row>
    <row r="51">
      <c r="A51" s="104">
        <v>50.0</v>
      </c>
      <c r="B51" s="111" t="s">
        <v>451</v>
      </c>
      <c r="C51" s="108" t="s">
        <v>554</v>
      </c>
      <c r="D51" s="105"/>
      <c r="E51" s="106">
        <v>4.100119E7</v>
      </c>
      <c r="F51" s="80" t="s">
        <v>650</v>
      </c>
      <c r="G51" s="73">
        <v>4198.0</v>
      </c>
      <c r="H51" s="107">
        <v>45960.0</v>
      </c>
      <c r="I51" s="105"/>
      <c r="J51" s="105"/>
      <c r="K51" s="111" t="s">
        <v>451</v>
      </c>
    </row>
    <row r="52">
      <c r="A52" s="69">
        <v>51.0</v>
      </c>
      <c r="B52" s="111" t="s">
        <v>453</v>
      </c>
      <c r="C52" s="110" t="s">
        <v>555</v>
      </c>
      <c r="D52" s="112"/>
      <c r="E52" s="81">
        <v>4.1001191E7</v>
      </c>
      <c r="F52" s="80" t="s">
        <v>650</v>
      </c>
      <c r="G52" s="73">
        <v>9203.0</v>
      </c>
      <c r="H52" s="74">
        <v>45995.0</v>
      </c>
      <c r="I52" s="72"/>
      <c r="J52" s="72"/>
      <c r="K52" s="111" t="s">
        <v>453</v>
      </c>
    </row>
  </sheetData>
  <autoFilter ref="$A$1:$Z$10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398</v>
      </c>
      <c r="B1" s="17" t="s">
        <v>399</v>
      </c>
      <c r="C1" s="18" t="s">
        <v>400</v>
      </c>
      <c r="D1" s="19" t="s">
        <v>401</v>
      </c>
      <c r="E1" s="18" t="s">
        <v>402</v>
      </c>
      <c r="F1" s="20" t="s">
        <v>403</v>
      </c>
      <c r="G1" s="18" t="s">
        <v>404</v>
      </c>
      <c r="H1" s="18" t="s">
        <v>405</v>
      </c>
      <c r="I1" s="18" t="s">
        <v>406</v>
      </c>
    </row>
    <row r="2">
      <c r="A2" s="21">
        <v>46105.603634259256</v>
      </c>
      <c r="B2" s="22" t="s">
        <v>417</v>
      </c>
      <c r="C2" s="22" t="s">
        <v>430</v>
      </c>
      <c r="D2" s="113" t="s">
        <v>428</v>
      </c>
      <c r="E2" s="22">
        <v>70517.0</v>
      </c>
      <c r="F2" s="23">
        <v>46056.0</v>
      </c>
      <c r="G2" s="24" t="s">
        <v>661</v>
      </c>
      <c r="H2" s="2"/>
      <c r="I2" s="25">
        <v>4625725.0</v>
      </c>
    </row>
    <row r="3">
      <c r="A3" s="114"/>
      <c r="B3" s="114"/>
      <c r="C3" s="114"/>
      <c r="D3" s="114">
        <v>801707.0</v>
      </c>
      <c r="E3" s="114">
        <v>165651.0</v>
      </c>
      <c r="F3" s="115">
        <v>46084.0</v>
      </c>
      <c r="G3" s="116" t="s">
        <v>422</v>
      </c>
      <c r="H3" s="117">
        <v>479505.0</v>
      </c>
      <c r="I3" s="117">
        <v>5126607.0</v>
      </c>
    </row>
    <row r="4">
      <c r="A4" s="4"/>
      <c r="B4" s="4"/>
      <c r="C4" s="4"/>
      <c r="D4" s="4">
        <v>156747.0</v>
      </c>
      <c r="E4" s="4">
        <v>789951.0</v>
      </c>
      <c r="F4" s="118">
        <v>46084.0</v>
      </c>
      <c r="G4" s="2" t="s">
        <v>631</v>
      </c>
      <c r="H4" s="2" t="s">
        <v>662</v>
      </c>
      <c r="I4" s="119">
        <v>318461.0</v>
      </c>
    </row>
    <row r="5">
      <c r="A5" s="4"/>
      <c r="B5" s="4"/>
      <c r="C5" s="4"/>
      <c r="D5" s="4">
        <v>813426.0</v>
      </c>
      <c r="E5" s="4">
        <v>48695.0</v>
      </c>
      <c r="F5" s="118">
        <v>46056.0</v>
      </c>
      <c r="G5" s="2" t="s">
        <v>432</v>
      </c>
      <c r="H5" s="2" t="s">
        <v>662</v>
      </c>
      <c r="I5" s="119">
        <v>182014.0</v>
      </c>
    </row>
    <row r="6">
      <c r="A6" s="4"/>
      <c r="B6" s="4"/>
      <c r="C6" s="4"/>
      <c r="D6" s="4">
        <v>816644.0</v>
      </c>
      <c r="E6" s="4">
        <v>25441.0</v>
      </c>
      <c r="F6" s="118">
        <v>46084.0</v>
      </c>
      <c r="G6" s="2" t="s">
        <v>629</v>
      </c>
      <c r="H6" s="2" t="s">
        <v>662</v>
      </c>
      <c r="I6" s="119">
        <v>161768.0</v>
      </c>
    </row>
    <row r="7">
      <c r="A7" s="4"/>
      <c r="B7" s="4"/>
      <c r="C7" s="4"/>
      <c r="D7" s="4">
        <v>808766.0</v>
      </c>
      <c r="E7" s="4">
        <v>38701.0</v>
      </c>
      <c r="F7" s="118">
        <v>46084.0</v>
      </c>
      <c r="G7" s="2" t="s">
        <v>422</v>
      </c>
      <c r="H7" s="2" t="s">
        <v>662</v>
      </c>
      <c r="I7" s="119">
        <v>2745254.0</v>
      </c>
    </row>
    <row r="8">
      <c r="A8" s="4"/>
      <c r="B8" s="4"/>
      <c r="C8" s="4"/>
      <c r="D8" s="4">
        <v>808766.0</v>
      </c>
      <c r="E8" s="4">
        <v>38702.0</v>
      </c>
      <c r="F8" s="118">
        <v>46084.0</v>
      </c>
      <c r="G8" s="2" t="s">
        <v>638</v>
      </c>
      <c r="H8" s="2" t="s">
        <v>662</v>
      </c>
      <c r="I8" s="119">
        <v>288295.0</v>
      </c>
    </row>
    <row r="9">
      <c r="A9" s="4"/>
      <c r="B9" s="4"/>
      <c r="C9" s="4"/>
      <c r="D9" s="4">
        <v>154155.0</v>
      </c>
      <c r="E9" s="4">
        <v>273744.0</v>
      </c>
      <c r="F9" s="23">
        <v>46085.0</v>
      </c>
      <c r="G9" s="2" t="s">
        <v>422</v>
      </c>
      <c r="H9" s="119">
        <v>210489.0</v>
      </c>
      <c r="I9" s="119">
        <v>2284570.0</v>
      </c>
    </row>
    <row r="10">
      <c r="A10" s="4"/>
      <c r="B10" s="4"/>
      <c r="C10" s="4"/>
      <c r="D10" s="4">
        <v>154155.0</v>
      </c>
      <c r="E10" s="4">
        <v>274327.0</v>
      </c>
      <c r="F10" s="23">
        <v>46085.0</v>
      </c>
      <c r="G10" s="2" t="s">
        <v>422</v>
      </c>
      <c r="H10" s="119">
        <v>322229.0</v>
      </c>
      <c r="I10" s="119">
        <v>2879618.0</v>
      </c>
    </row>
    <row r="11">
      <c r="A11" s="4"/>
      <c r="B11" s="4"/>
      <c r="C11" s="4"/>
      <c r="D11" s="4">
        <v>154155.0</v>
      </c>
      <c r="E11" s="4">
        <v>274472.0</v>
      </c>
      <c r="F11" s="23">
        <v>46085.0</v>
      </c>
      <c r="G11" s="2" t="s">
        <v>422</v>
      </c>
      <c r="H11" s="119">
        <v>546682.0</v>
      </c>
      <c r="I11" s="119">
        <v>3392214.0</v>
      </c>
    </row>
    <row r="12">
      <c r="A12" s="4"/>
      <c r="B12" s="4"/>
      <c r="C12" s="4"/>
      <c r="D12" s="4">
        <v>801100.0</v>
      </c>
      <c r="E12" s="4">
        <v>190648.0</v>
      </c>
      <c r="F12" s="23">
        <v>46085.0</v>
      </c>
      <c r="G12" s="2" t="s">
        <v>422</v>
      </c>
      <c r="H12" s="119">
        <v>746666.0</v>
      </c>
      <c r="I12" s="119">
        <v>1.0708357E7</v>
      </c>
    </row>
    <row r="13">
      <c r="A13" s="4"/>
      <c r="B13" s="4"/>
      <c r="C13" s="4"/>
      <c r="D13" s="4">
        <v>821697.0</v>
      </c>
      <c r="E13" s="4">
        <v>70617.0</v>
      </c>
      <c r="F13" s="23">
        <v>46085.0</v>
      </c>
      <c r="G13" s="2" t="s">
        <v>422</v>
      </c>
      <c r="H13" s="119">
        <v>255509.0</v>
      </c>
      <c r="I13" s="119">
        <v>3447541.0</v>
      </c>
    </row>
    <row r="14">
      <c r="A14" s="4"/>
      <c r="B14" s="4"/>
      <c r="C14" s="4"/>
      <c r="D14" s="4">
        <v>800839.0</v>
      </c>
      <c r="E14" s="4">
        <v>100832.0</v>
      </c>
      <c r="F14" s="23">
        <v>46085.0</v>
      </c>
      <c r="G14" s="2" t="s">
        <v>422</v>
      </c>
      <c r="H14" s="119">
        <v>459189.0</v>
      </c>
      <c r="I14" s="119">
        <v>3580324.0</v>
      </c>
    </row>
    <row r="15">
      <c r="A15" s="4"/>
      <c r="B15" s="4"/>
      <c r="C15" s="4"/>
      <c r="D15" s="4">
        <v>813536.0</v>
      </c>
      <c r="E15" s="4">
        <v>38943.0</v>
      </c>
      <c r="F15" s="23">
        <v>46085.0</v>
      </c>
      <c r="G15" s="2" t="s">
        <v>422</v>
      </c>
      <c r="H15" s="119">
        <v>495843.0</v>
      </c>
      <c r="I15" s="119">
        <v>2291090.0</v>
      </c>
    </row>
    <row r="16">
      <c r="A16" s="4"/>
      <c r="B16" s="4"/>
      <c r="C16" s="4"/>
      <c r="D16" s="4">
        <v>821848.0</v>
      </c>
      <c r="E16" s="4">
        <v>31865.0</v>
      </c>
      <c r="F16" s="23">
        <v>46085.0</v>
      </c>
      <c r="G16" s="2" t="s">
        <v>422</v>
      </c>
      <c r="H16" s="2" t="s">
        <v>662</v>
      </c>
      <c r="I16" s="119">
        <v>2954149.0</v>
      </c>
    </row>
    <row r="17">
      <c r="A17" s="4"/>
      <c r="B17" s="4"/>
      <c r="C17" s="4"/>
      <c r="D17" s="4">
        <v>815184.0</v>
      </c>
      <c r="E17" s="4">
        <v>24247.0</v>
      </c>
      <c r="F17" s="23">
        <v>46085.0</v>
      </c>
      <c r="G17" s="2" t="s">
        <v>422</v>
      </c>
      <c r="H17" s="119">
        <v>372994.0</v>
      </c>
      <c r="I17" s="119">
        <v>3277092.0</v>
      </c>
    </row>
    <row r="18">
      <c r="A18" s="4"/>
      <c r="B18" s="4"/>
      <c r="C18" s="4"/>
      <c r="D18" s="4">
        <v>815562.0</v>
      </c>
      <c r="E18" s="4">
        <v>30031.0</v>
      </c>
      <c r="F18" s="23">
        <v>46085.0</v>
      </c>
      <c r="G18" s="2" t="s">
        <v>422</v>
      </c>
      <c r="H18" s="119">
        <v>589393.0</v>
      </c>
      <c r="I18" s="119">
        <v>6935326.0</v>
      </c>
    </row>
    <row r="19">
      <c r="A19" s="4"/>
      <c r="B19" s="4"/>
      <c r="C19" s="4"/>
      <c r="D19" s="4">
        <v>801936.0</v>
      </c>
      <c r="E19" s="4">
        <v>251401.0</v>
      </c>
      <c r="F19" s="23">
        <v>46085.0</v>
      </c>
      <c r="G19" s="2" t="s">
        <v>632</v>
      </c>
      <c r="H19" s="2" t="s">
        <v>662</v>
      </c>
      <c r="I19" s="119">
        <v>1110780.0</v>
      </c>
    </row>
    <row r="20">
      <c r="A20" s="4"/>
      <c r="B20" s="4"/>
      <c r="C20" s="4"/>
      <c r="D20" s="4">
        <v>808291.0</v>
      </c>
      <c r="E20" s="4">
        <v>75435.0</v>
      </c>
      <c r="F20" s="23">
        <v>46085.0</v>
      </c>
      <c r="G20" s="2" t="s">
        <v>632</v>
      </c>
      <c r="H20" s="2" t="s">
        <v>662</v>
      </c>
      <c r="I20" s="119">
        <v>1760713.0</v>
      </c>
    </row>
    <row r="21">
      <c r="A21" s="4"/>
      <c r="B21" s="4"/>
      <c r="C21" s="4"/>
      <c r="D21" s="4">
        <v>808291.0</v>
      </c>
      <c r="E21" s="4">
        <v>75582.0</v>
      </c>
      <c r="F21" s="23">
        <v>46085.0</v>
      </c>
      <c r="G21" s="2" t="s">
        <v>432</v>
      </c>
      <c r="H21" s="119">
        <v>2733.0</v>
      </c>
      <c r="I21" s="119">
        <v>426768.0</v>
      </c>
    </row>
    <row r="22">
      <c r="A22" s="4"/>
      <c r="B22" s="4"/>
      <c r="C22" s="4"/>
      <c r="D22" s="4">
        <v>801936.0</v>
      </c>
      <c r="E22" s="4">
        <v>251619.0</v>
      </c>
      <c r="F22" s="23">
        <v>46085.0</v>
      </c>
      <c r="G22" s="2" t="s">
        <v>632</v>
      </c>
      <c r="H22" s="2" t="s">
        <v>662</v>
      </c>
      <c r="I22" s="119">
        <v>1777171.0</v>
      </c>
    </row>
    <row r="23">
      <c r="A23" s="4"/>
      <c r="B23" s="4"/>
      <c r="C23" s="4"/>
      <c r="D23" s="4">
        <v>801936.0</v>
      </c>
      <c r="E23" s="4">
        <v>251781.0</v>
      </c>
      <c r="F23" s="23">
        <v>46085.0</v>
      </c>
      <c r="G23" s="2" t="s">
        <v>432</v>
      </c>
      <c r="H23" s="119">
        <v>6765.0</v>
      </c>
      <c r="I23" s="119">
        <v>635640.0</v>
      </c>
    </row>
    <row r="24">
      <c r="A24" s="4"/>
      <c r="B24" s="4"/>
      <c r="C24" s="4"/>
      <c r="D24" s="4">
        <v>801936.0</v>
      </c>
      <c r="E24" s="4">
        <v>252061.0</v>
      </c>
      <c r="F24" s="23">
        <v>46085.0</v>
      </c>
      <c r="G24" s="2" t="s">
        <v>432</v>
      </c>
      <c r="H24" s="119">
        <v>2706.0</v>
      </c>
      <c r="I24" s="119">
        <v>193964.0</v>
      </c>
    </row>
    <row r="25">
      <c r="A25" s="4"/>
      <c r="B25" s="4"/>
      <c r="C25" s="4"/>
      <c r="D25" s="4">
        <v>156747.0</v>
      </c>
      <c r="E25" s="4">
        <v>790070.0</v>
      </c>
      <c r="F25" s="23">
        <v>46085.0</v>
      </c>
      <c r="G25" s="2" t="s">
        <v>628</v>
      </c>
      <c r="H25" s="2" t="s">
        <v>662</v>
      </c>
      <c r="I25" s="119">
        <v>1640819.0</v>
      </c>
    </row>
    <row r="26">
      <c r="A26" s="4"/>
      <c r="B26" s="4"/>
      <c r="C26" s="4"/>
      <c r="D26" s="4">
        <v>156747.0</v>
      </c>
      <c r="E26" s="4">
        <v>790169.0</v>
      </c>
      <c r="F26" s="23">
        <v>46085.0</v>
      </c>
      <c r="G26" s="2" t="s">
        <v>628</v>
      </c>
      <c r="H26" s="2" t="s">
        <v>662</v>
      </c>
      <c r="I26" s="119">
        <v>1164686.0</v>
      </c>
    </row>
    <row r="27">
      <c r="A27" s="4"/>
      <c r="B27" s="4"/>
      <c r="C27" s="4"/>
      <c r="D27" s="4">
        <v>156747.0</v>
      </c>
      <c r="E27" s="4">
        <v>790464.0</v>
      </c>
      <c r="F27" s="23">
        <v>46085.0</v>
      </c>
      <c r="G27" s="2" t="s">
        <v>628</v>
      </c>
      <c r="H27" s="2" t="s">
        <v>662</v>
      </c>
      <c r="I27" s="119">
        <v>2586845.0</v>
      </c>
    </row>
    <row r="28">
      <c r="A28" s="4"/>
      <c r="B28" s="4"/>
      <c r="C28" s="4"/>
      <c r="D28" s="4">
        <v>156747.0</v>
      </c>
      <c r="E28" s="4">
        <v>790465.0</v>
      </c>
      <c r="F28" s="23">
        <v>46085.0</v>
      </c>
      <c r="G28" s="2" t="s">
        <v>628</v>
      </c>
      <c r="H28" s="2" t="s">
        <v>662</v>
      </c>
      <c r="I28" s="119">
        <v>1986421.0</v>
      </c>
    </row>
    <row r="29">
      <c r="A29" s="4"/>
      <c r="B29" s="4"/>
      <c r="C29" s="4"/>
      <c r="D29" s="4">
        <v>156747.0</v>
      </c>
      <c r="E29" s="4">
        <v>794662.0</v>
      </c>
      <c r="F29" s="23">
        <v>46085.0</v>
      </c>
      <c r="G29" s="2" t="s">
        <v>628</v>
      </c>
      <c r="H29" s="2" t="s">
        <v>662</v>
      </c>
      <c r="I29" s="119">
        <v>1711263.0</v>
      </c>
    </row>
    <row r="30">
      <c r="A30" s="4"/>
      <c r="B30" s="4"/>
      <c r="C30" s="4"/>
      <c r="D30" s="4">
        <v>156747.0</v>
      </c>
      <c r="E30" s="4">
        <v>795056.0</v>
      </c>
      <c r="F30" s="23">
        <v>46085.0</v>
      </c>
      <c r="G30" s="2" t="s">
        <v>628</v>
      </c>
      <c r="H30" s="2" t="s">
        <v>662</v>
      </c>
      <c r="I30" s="119">
        <v>1440750.0</v>
      </c>
    </row>
    <row r="31">
      <c r="A31" s="4"/>
      <c r="B31" s="4"/>
      <c r="C31" s="4"/>
      <c r="D31" s="4">
        <v>156747.0</v>
      </c>
      <c r="E31" s="4">
        <v>795350.0</v>
      </c>
      <c r="F31" s="23">
        <v>46085.0</v>
      </c>
      <c r="G31" s="2" t="s">
        <v>628</v>
      </c>
      <c r="H31" s="2" t="s">
        <v>662</v>
      </c>
      <c r="I31" s="119">
        <v>3467050.0</v>
      </c>
    </row>
    <row r="32">
      <c r="A32" s="4"/>
      <c r="B32" s="4"/>
      <c r="C32" s="4"/>
      <c r="D32" s="4">
        <v>156747.0</v>
      </c>
      <c r="E32" s="4">
        <v>794957.0</v>
      </c>
      <c r="F32" s="23">
        <v>46085.0</v>
      </c>
      <c r="G32" s="2" t="s">
        <v>628</v>
      </c>
      <c r="H32" s="2" t="s">
        <v>662</v>
      </c>
      <c r="I32" s="119">
        <v>2347078.0</v>
      </c>
    </row>
    <row r="33">
      <c r="A33" s="4"/>
      <c r="B33" s="4"/>
      <c r="C33" s="4"/>
      <c r="D33" s="4">
        <v>817165.0</v>
      </c>
      <c r="E33" s="4">
        <v>143090.0</v>
      </c>
      <c r="F33" s="118">
        <v>46080.0</v>
      </c>
      <c r="G33" s="2" t="s">
        <v>640</v>
      </c>
      <c r="H33" s="119">
        <v>48951.0</v>
      </c>
      <c r="I33" s="2" t="s">
        <v>662</v>
      </c>
    </row>
    <row r="34">
      <c r="A34" s="4"/>
      <c r="B34" s="4"/>
      <c r="C34" s="4"/>
      <c r="D34" s="4">
        <v>820859.0</v>
      </c>
      <c r="E34" s="4">
        <v>49614.0</v>
      </c>
      <c r="F34" s="118">
        <v>46084.0</v>
      </c>
      <c r="G34" s="2" t="s">
        <v>422</v>
      </c>
      <c r="H34" s="119">
        <v>3702430.0</v>
      </c>
      <c r="I34" s="2" t="s">
        <v>662</v>
      </c>
    </row>
    <row r="35">
      <c r="A35" s="4"/>
      <c r="B35" s="4"/>
      <c r="C35" s="4"/>
      <c r="D35" s="4">
        <v>817165.0</v>
      </c>
      <c r="E35" s="4">
        <v>37142.0</v>
      </c>
      <c r="F35" s="23">
        <v>46081.0</v>
      </c>
      <c r="G35" s="2" t="s">
        <v>628</v>
      </c>
      <c r="H35" s="119">
        <v>903499.0</v>
      </c>
      <c r="I35" s="2" t="s">
        <v>662</v>
      </c>
    </row>
    <row r="36">
      <c r="A36" s="4"/>
      <c r="B36" s="4"/>
      <c r="C36" s="4"/>
      <c r="D36" s="4">
        <v>809145.0</v>
      </c>
      <c r="E36" s="4">
        <v>231068.0</v>
      </c>
      <c r="F36" s="23">
        <v>46087.0</v>
      </c>
      <c r="G36" s="2" t="s">
        <v>637</v>
      </c>
      <c r="H36" s="2" t="s">
        <v>662</v>
      </c>
      <c r="I36" s="119">
        <v>708584.0</v>
      </c>
    </row>
    <row r="37">
      <c r="A37" s="4"/>
      <c r="B37" s="4"/>
      <c r="C37" s="4"/>
      <c r="D37" s="4">
        <v>809145.0</v>
      </c>
      <c r="E37" s="4">
        <v>231155.0</v>
      </c>
      <c r="F37" s="23">
        <v>46087.0</v>
      </c>
      <c r="G37" s="2" t="s">
        <v>637</v>
      </c>
      <c r="H37" s="2" t="s">
        <v>662</v>
      </c>
      <c r="I37" s="119">
        <v>457983.0</v>
      </c>
    </row>
    <row r="38">
      <c r="A38" s="4"/>
      <c r="B38" s="4"/>
      <c r="C38" s="4"/>
      <c r="D38" s="4">
        <v>803668.0</v>
      </c>
      <c r="E38" s="4">
        <v>13842.0</v>
      </c>
      <c r="F38" s="23">
        <v>46087.0</v>
      </c>
      <c r="G38" s="2" t="s">
        <v>634</v>
      </c>
      <c r="H38" s="2" t="s">
        <v>662</v>
      </c>
      <c r="I38" s="119">
        <v>1188318.0</v>
      </c>
    </row>
    <row r="39">
      <c r="A39" s="4"/>
      <c r="B39" s="4"/>
      <c r="C39" s="4"/>
      <c r="D39" s="4">
        <v>803668.0</v>
      </c>
      <c r="E39" s="4">
        <v>13890.0</v>
      </c>
      <c r="F39" s="23">
        <v>46087.0</v>
      </c>
      <c r="G39" s="2" t="s">
        <v>422</v>
      </c>
      <c r="H39" s="119">
        <v>1172205.0</v>
      </c>
      <c r="I39" s="119">
        <v>4148760.0</v>
      </c>
    </row>
    <row r="40">
      <c r="A40" s="4"/>
      <c r="B40" s="4"/>
      <c r="C40" s="4"/>
      <c r="D40" s="4">
        <v>816449.0</v>
      </c>
      <c r="E40" s="4">
        <v>40546.0</v>
      </c>
      <c r="F40" s="23">
        <v>46090.0</v>
      </c>
      <c r="G40" s="2" t="s">
        <v>422</v>
      </c>
      <c r="H40" s="2" t="s">
        <v>662</v>
      </c>
      <c r="I40" s="119">
        <v>3559277.0</v>
      </c>
    </row>
    <row r="41">
      <c r="A41" s="4"/>
      <c r="B41" s="4"/>
      <c r="C41" s="4"/>
      <c r="D41" s="4">
        <v>818541.0</v>
      </c>
      <c r="E41" s="4">
        <v>133805.0</v>
      </c>
      <c r="F41" s="23">
        <v>46090.0</v>
      </c>
      <c r="G41" s="2" t="s">
        <v>641</v>
      </c>
      <c r="H41" s="2" t="s">
        <v>662</v>
      </c>
      <c r="I41" s="119">
        <v>291633.0</v>
      </c>
    </row>
    <row r="42">
      <c r="A42" s="4"/>
      <c r="B42" s="4"/>
      <c r="C42" s="4"/>
      <c r="D42" s="4">
        <v>809145.0</v>
      </c>
      <c r="E42" s="4">
        <v>231785.0</v>
      </c>
      <c r="F42" s="23">
        <v>46091.0</v>
      </c>
      <c r="G42" s="2" t="s">
        <v>432</v>
      </c>
      <c r="H42" s="2" t="s">
        <v>662</v>
      </c>
      <c r="I42" s="119">
        <v>312816.0</v>
      </c>
    </row>
    <row r="43">
      <c r="A43" s="4"/>
      <c r="B43" s="4"/>
      <c r="C43" s="4"/>
      <c r="D43" s="4">
        <v>809145.0</v>
      </c>
      <c r="E43" s="4">
        <v>231822.0</v>
      </c>
      <c r="F43" s="23">
        <v>46091.0</v>
      </c>
      <c r="G43" s="2" t="s">
        <v>629</v>
      </c>
      <c r="H43" s="2" t="s">
        <v>662</v>
      </c>
      <c r="I43" s="119">
        <v>136352.0</v>
      </c>
    </row>
    <row r="44">
      <c r="A44" s="4"/>
      <c r="B44" s="4"/>
      <c r="C44" s="4"/>
      <c r="D44" s="4">
        <v>809145.0</v>
      </c>
      <c r="E44" s="4">
        <v>232077.0</v>
      </c>
      <c r="F44" s="23">
        <v>46091.0</v>
      </c>
      <c r="G44" s="2" t="s">
        <v>432</v>
      </c>
      <c r="H44" s="2" t="s">
        <v>662</v>
      </c>
      <c r="I44" s="119">
        <v>282965.0</v>
      </c>
    </row>
    <row r="45">
      <c r="A45" s="4"/>
      <c r="B45" s="4"/>
      <c r="C45" s="4"/>
      <c r="D45" s="4">
        <v>808766.0</v>
      </c>
      <c r="E45" s="4">
        <v>38773.0</v>
      </c>
      <c r="F45" s="23">
        <v>46092.0</v>
      </c>
      <c r="G45" s="2" t="s">
        <v>639</v>
      </c>
      <c r="H45" s="2" t="s">
        <v>662</v>
      </c>
      <c r="I45" s="119">
        <v>1144916.0</v>
      </c>
    </row>
    <row r="46">
      <c r="A46" s="4"/>
      <c r="B46" s="4"/>
      <c r="C46" s="4"/>
      <c r="D46" s="4">
        <v>818541.0</v>
      </c>
      <c r="E46" s="4">
        <v>134181.0</v>
      </c>
      <c r="F46" s="23">
        <v>46093.0</v>
      </c>
      <c r="G46" s="2" t="s">
        <v>642</v>
      </c>
      <c r="H46" s="2" t="s">
        <v>662</v>
      </c>
      <c r="I46" s="119">
        <v>2105555.0</v>
      </c>
    </row>
    <row r="47">
      <c r="A47" s="4"/>
      <c r="B47" s="4"/>
      <c r="C47" s="4"/>
      <c r="D47" s="4">
        <v>807784.0</v>
      </c>
      <c r="E47" s="4">
        <v>37796.0</v>
      </c>
      <c r="F47" s="23">
        <v>46093.0</v>
      </c>
      <c r="G47" s="2" t="s">
        <v>633</v>
      </c>
      <c r="H47" s="2" t="s">
        <v>662</v>
      </c>
      <c r="I47" s="119">
        <v>2688769.0</v>
      </c>
    </row>
    <row r="48">
      <c r="A48" s="4"/>
      <c r="B48" s="4"/>
      <c r="C48" s="4"/>
      <c r="D48" s="4">
        <v>813656.0</v>
      </c>
      <c r="E48" s="4">
        <v>59912.0</v>
      </c>
      <c r="F48" s="23">
        <v>46093.0</v>
      </c>
      <c r="G48" s="2" t="s">
        <v>422</v>
      </c>
      <c r="H48" s="2" t="s">
        <v>662</v>
      </c>
      <c r="I48" s="119">
        <v>8132841.0</v>
      </c>
    </row>
    <row r="49">
      <c r="A49" s="4"/>
      <c r="B49" s="4"/>
      <c r="C49" s="4"/>
      <c r="D49" s="4">
        <v>820941.0</v>
      </c>
      <c r="E49" s="4">
        <v>24490.0</v>
      </c>
      <c r="F49" s="23">
        <v>46093.0</v>
      </c>
      <c r="G49" s="2" t="s">
        <v>422</v>
      </c>
      <c r="H49" s="119">
        <v>644106.0</v>
      </c>
      <c r="I49" s="119">
        <v>5695786.0</v>
      </c>
    </row>
    <row r="50">
      <c r="A50" s="4"/>
      <c r="B50" s="4"/>
      <c r="C50" s="4"/>
      <c r="D50" s="4">
        <v>802142.0</v>
      </c>
      <c r="E50" s="4">
        <v>85912.0</v>
      </c>
      <c r="F50" s="23">
        <v>46093.0</v>
      </c>
      <c r="G50" s="2" t="s">
        <v>422</v>
      </c>
      <c r="H50" s="119">
        <v>749207.0</v>
      </c>
      <c r="I50" s="119">
        <v>6460570.0</v>
      </c>
    </row>
    <row r="51">
      <c r="A51" s="4"/>
      <c r="B51" s="4"/>
      <c r="C51" s="4"/>
      <c r="D51" s="4">
        <v>810647.0</v>
      </c>
      <c r="E51" s="4">
        <v>134475.0</v>
      </c>
      <c r="F51" s="23">
        <v>46093.0</v>
      </c>
      <c r="G51" s="2" t="s">
        <v>422</v>
      </c>
      <c r="H51" s="119">
        <v>1171389.0</v>
      </c>
      <c r="I51" s="119">
        <v>1.0265382E7</v>
      </c>
    </row>
    <row r="52">
      <c r="A52" s="4"/>
      <c r="B52" s="4"/>
      <c r="C52" s="4"/>
      <c r="D52" s="4">
        <v>810647.0</v>
      </c>
      <c r="E52" s="4">
        <v>134641.0</v>
      </c>
      <c r="F52" s="23">
        <v>46093.0</v>
      </c>
      <c r="G52" s="2" t="s">
        <v>422</v>
      </c>
      <c r="H52" s="119">
        <v>639234.0</v>
      </c>
      <c r="I52" s="119">
        <v>5356793.0</v>
      </c>
    </row>
    <row r="53">
      <c r="A53" s="4"/>
      <c r="B53" s="4"/>
      <c r="C53" s="4"/>
      <c r="D53" s="4">
        <v>810647.0</v>
      </c>
      <c r="E53" s="4">
        <v>134766.0</v>
      </c>
      <c r="F53" s="23">
        <v>46093.0</v>
      </c>
      <c r="G53" s="2" t="s">
        <v>422</v>
      </c>
      <c r="H53" s="119">
        <v>620360.0</v>
      </c>
      <c r="I53" s="119">
        <v>5077087.0</v>
      </c>
    </row>
    <row r="54">
      <c r="A54" s="4"/>
      <c r="B54" s="4"/>
      <c r="C54" s="4"/>
      <c r="D54" s="4">
        <v>800812.0</v>
      </c>
      <c r="E54" s="4">
        <v>187417.0</v>
      </c>
      <c r="F54" s="23">
        <v>46094.0</v>
      </c>
      <c r="G54" s="2" t="s">
        <v>422</v>
      </c>
      <c r="H54" s="119">
        <v>522517.0</v>
      </c>
      <c r="I54" s="119">
        <v>7212850.0</v>
      </c>
    </row>
    <row r="55">
      <c r="A55" s="4"/>
      <c r="B55" s="4"/>
      <c r="C55" s="4"/>
      <c r="D55" s="4">
        <v>800812.0</v>
      </c>
      <c r="E55" s="4">
        <v>187662.0</v>
      </c>
      <c r="F55" s="23">
        <v>46094.0</v>
      </c>
      <c r="G55" s="2" t="s">
        <v>422</v>
      </c>
      <c r="H55" s="119">
        <v>582935.0</v>
      </c>
      <c r="I55" s="119">
        <v>5368546.0</v>
      </c>
    </row>
    <row r="56">
      <c r="A56" s="4"/>
      <c r="B56" s="4"/>
      <c r="C56" s="4"/>
      <c r="D56" s="4">
        <v>800812.0</v>
      </c>
      <c r="E56" s="4">
        <v>187956.0</v>
      </c>
      <c r="F56" s="23">
        <v>46094.0</v>
      </c>
      <c r="G56" s="2" t="s">
        <v>422</v>
      </c>
      <c r="H56" s="119">
        <v>982656.0</v>
      </c>
      <c r="I56" s="119">
        <v>4484175.0</v>
      </c>
    </row>
    <row r="57">
      <c r="A57" s="4"/>
      <c r="B57" s="4"/>
      <c r="C57" s="4"/>
      <c r="D57" s="4">
        <v>800812.0</v>
      </c>
      <c r="E57" s="4">
        <v>188032.0</v>
      </c>
      <c r="F57" s="23">
        <v>46094.0</v>
      </c>
      <c r="G57" s="2" t="s">
        <v>422</v>
      </c>
      <c r="H57" s="119">
        <v>513998.0</v>
      </c>
      <c r="I57" s="119">
        <v>3834891.0</v>
      </c>
    </row>
    <row r="58">
      <c r="A58" s="4"/>
      <c r="B58" s="4"/>
      <c r="C58" s="4"/>
      <c r="D58" s="4">
        <v>800812.0</v>
      </c>
      <c r="E58" s="4">
        <v>188200.0</v>
      </c>
      <c r="F58" s="23">
        <v>46094.0</v>
      </c>
      <c r="G58" s="2" t="s">
        <v>422</v>
      </c>
      <c r="H58" s="119">
        <v>1113277.0</v>
      </c>
      <c r="I58" s="119">
        <v>4233372.0</v>
      </c>
    </row>
    <row r="59">
      <c r="A59" s="4"/>
      <c r="B59" s="4"/>
      <c r="C59" s="4"/>
      <c r="D59" s="4">
        <v>800812.0</v>
      </c>
      <c r="E59" s="4">
        <v>188370.0</v>
      </c>
      <c r="F59" s="23">
        <v>46094.0</v>
      </c>
      <c r="G59" s="2" t="s">
        <v>422</v>
      </c>
      <c r="H59" s="119">
        <v>522852.0</v>
      </c>
      <c r="I59" s="119">
        <v>7659314.0</v>
      </c>
    </row>
    <row r="60">
      <c r="A60" s="4"/>
      <c r="B60" s="4"/>
      <c r="C60" s="4"/>
      <c r="D60" s="4">
        <v>800812.0</v>
      </c>
      <c r="E60" s="4">
        <v>188564.0</v>
      </c>
      <c r="F60" s="23">
        <v>46094.0</v>
      </c>
      <c r="G60" s="2" t="s">
        <v>422</v>
      </c>
      <c r="H60" s="2" t="s">
        <v>662</v>
      </c>
      <c r="I60" s="119">
        <v>3843061.0</v>
      </c>
    </row>
    <row r="61">
      <c r="A61" s="4"/>
      <c r="B61" s="4"/>
      <c r="C61" s="4"/>
      <c r="D61" s="4">
        <v>800812.0</v>
      </c>
      <c r="E61" s="4">
        <v>188836.0</v>
      </c>
      <c r="F61" s="23">
        <v>46094.0</v>
      </c>
      <c r="G61" s="2" t="s">
        <v>422</v>
      </c>
      <c r="H61" s="119">
        <v>906791.0</v>
      </c>
      <c r="I61" s="119">
        <v>4812997.0</v>
      </c>
    </row>
    <row r="62">
      <c r="A62" s="4"/>
      <c r="B62" s="4"/>
      <c r="C62" s="4"/>
      <c r="D62" s="4">
        <v>800812.0</v>
      </c>
      <c r="E62" s="4">
        <v>188914.0</v>
      </c>
      <c r="F62" s="23">
        <v>46094.0</v>
      </c>
      <c r="G62" s="2" t="s">
        <v>422</v>
      </c>
      <c r="H62" s="119">
        <v>774140.0</v>
      </c>
      <c r="I62" s="119">
        <v>4464835.0</v>
      </c>
    </row>
    <row r="63">
      <c r="A63" s="4"/>
      <c r="B63" s="4"/>
      <c r="C63" s="4"/>
      <c r="D63" s="4">
        <v>803668.0</v>
      </c>
      <c r="E63" s="4">
        <v>14162.0</v>
      </c>
      <c r="F63" s="23">
        <v>46094.0</v>
      </c>
      <c r="G63" s="2" t="s">
        <v>636</v>
      </c>
      <c r="H63" s="2" t="s">
        <v>662</v>
      </c>
      <c r="I63" s="119">
        <v>1380409.0</v>
      </c>
    </row>
    <row r="64">
      <c r="A64" s="4"/>
      <c r="B64" s="4"/>
      <c r="C64" s="4"/>
      <c r="D64" s="4">
        <v>803668.0</v>
      </c>
      <c r="E64" s="4">
        <v>14367.0</v>
      </c>
      <c r="F64" s="23">
        <v>46094.0</v>
      </c>
      <c r="G64" s="2" t="s">
        <v>635</v>
      </c>
      <c r="H64" s="2" t="s">
        <v>662</v>
      </c>
      <c r="I64" s="119">
        <v>118877.0</v>
      </c>
    </row>
    <row r="65">
      <c r="A65" s="4"/>
      <c r="B65" s="4"/>
      <c r="C65" s="4"/>
      <c r="D65" s="4">
        <v>821848.0</v>
      </c>
      <c r="E65" s="4">
        <v>31981.0</v>
      </c>
      <c r="F65" s="23">
        <v>46097.0</v>
      </c>
      <c r="G65" s="2" t="s">
        <v>629</v>
      </c>
      <c r="H65" s="2" t="s">
        <v>662</v>
      </c>
      <c r="I65" s="119">
        <v>139017.0</v>
      </c>
    </row>
    <row r="66">
      <c r="A66" s="4"/>
      <c r="B66" s="4"/>
      <c r="C66" s="4"/>
      <c r="D66" s="4">
        <v>801100.0</v>
      </c>
      <c r="E66" s="4">
        <v>191347.0</v>
      </c>
      <c r="F66" s="23">
        <v>46097.0</v>
      </c>
      <c r="G66" s="2" t="s">
        <v>629</v>
      </c>
      <c r="H66" s="2" t="s">
        <v>662</v>
      </c>
      <c r="I66" s="119">
        <v>234527.0</v>
      </c>
    </row>
    <row r="67">
      <c r="A67" s="4"/>
      <c r="B67" s="4"/>
      <c r="C67" s="4"/>
      <c r="D67" s="4">
        <v>821697.0</v>
      </c>
      <c r="E67" s="4">
        <v>70887.0</v>
      </c>
      <c r="F67" s="23">
        <v>46097.0</v>
      </c>
      <c r="G67" s="2" t="s">
        <v>629</v>
      </c>
      <c r="H67" s="2" t="s">
        <v>662</v>
      </c>
      <c r="I67" s="119">
        <v>364744.0</v>
      </c>
    </row>
    <row r="68">
      <c r="A68" s="4"/>
      <c r="B68" s="4"/>
      <c r="C68" s="4"/>
      <c r="D68" s="4">
        <v>800839.0</v>
      </c>
      <c r="E68" s="4">
        <v>101125.0</v>
      </c>
      <c r="F68" s="23">
        <v>46097.0</v>
      </c>
      <c r="G68" s="2" t="s">
        <v>630</v>
      </c>
      <c r="H68" s="2" t="s">
        <v>662</v>
      </c>
      <c r="I68" s="119">
        <v>1943393.0</v>
      </c>
    </row>
    <row r="69">
      <c r="A69" s="4"/>
      <c r="B69" s="4"/>
      <c r="C69" s="4"/>
      <c r="D69" s="4">
        <v>813536.0</v>
      </c>
      <c r="E69" s="4">
        <v>39026.0</v>
      </c>
      <c r="F69" s="23">
        <v>46097.0</v>
      </c>
      <c r="G69" s="2" t="s">
        <v>630</v>
      </c>
      <c r="H69" s="2" t="s">
        <v>662</v>
      </c>
      <c r="I69" s="119">
        <v>636832.0</v>
      </c>
    </row>
    <row r="70">
      <c r="A70" s="4"/>
      <c r="B70" s="4"/>
      <c r="C70" s="4"/>
      <c r="D70" s="4">
        <v>815184.0</v>
      </c>
      <c r="E70" s="4">
        <v>24366.0</v>
      </c>
      <c r="F70" s="23">
        <v>46097.0</v>
      </c>
      <c r="G70" s="2" t="s">
        <v>629</v>
      </c>
      <c r="H70" s="2" t="s">
        <v>662</v>
      </c>
      <c r="I70" s="119">
        <v>220359.0</v>
      </c>
    </row>
    <row r="71">
      <c r="A71" s="4"/>
      <c r="B71" s="4"/>
      <c r="C71" s="4"/>
      <c r="D71" s="4">
        <v>815562.0</v>
      </c>
      <c r="E71" s="4">
        <v>30186.0</v>
      </c>
      <c r="F71" s="23">
        <v>46097.0</v>
      </c>
      <c r="G71" s="2" t="s">
        <v>629</v>
      </c>
      <c r="H71" s="2" t="s">
        <v>662</v>
      </c>
      <c r="I71" s="119">
        <v>489007.0</v>
      </c>
    </row>
    <row r="72">
      <c r="A72" s="4"/>
      <c r="B72" s="4"/>
      <c r="C72" s="4"/>
      <c r="D72" s="4">
        <v>809145.0</v>
      </c>
      <c r="E72" s="4">
        <v>232198.0</v>
      </c>
      <c r="F72" s="23">
        <v>46097.0</v>
      </c>
      <c r="G72" s="2" t="s">
        <v>630</v>
      </c>
      <c r="H72" s="2" t="s">
        <v>662</v>
      </c>
      <c r="I72" s="119">
        <v>11449.0</v>
      </c>
    </row>
    <row r="73">
      <c r="A73" s="4"/>
      <c r="B73" s="4"/>
      <c r="C73" s="4"/>
      <c r="D73" s="4">
        <v>817165.0</v>
      </c>
      <c r="E73" s="4">
        <v>143136.0</v>
      </c>
      <c r="F73" s="23">
        <v>46080.0</v>
      </c>
      <c r="G73" s="2" t="s">
        <v>637</v>
      </c>
      <c r="H73" s="119">
        <v>171806.0</v>
      </c>
      <c r="I73" s="2" t="s">
        <v>662</v>
      </c>
    </row>
    <row r="74">
      <c r="A74" s="4"/>
      <c r="B74" s="4"/>
      <c r="C74" s="4"/>
      <c r="D74" s="4">
        <v>813656.0</v>
      </c>
      <c r="E74" s="4">
        <v>19141.0</v>
      </c>
      <c r="F74" s="23">
        <v>46093.0</v>
      </c>
      <c r="G74" s="2" t="s">
        <v>405</v>
      </c>
      <c r="H74" s="119">
        <v>11953.0</v>
      </c>
      <c r="I74" s="2" t="s">
        <v>662</v>
      </c>
    </row>
    <row r="75">
      <c r="A75" s="4"/>
      <c r="B75" s="4"/>
      <c r="C75" s="4"/>
      <c r="D75" s="4">
        <v>820941.0</v>
      </c>
      <c r="E75" s="4">
        <v>10333.0</v>
      </c>
      <c r="F75" s="23">
        <v>46093.0</v>
      </c>
      <c r="G75" s="2" t="s">
        <v>405</v>
      </c>
      <c r="H75" s="119">
        <v>11953.0</v>
      </c>
      <c r="I75" s="2" t="s">
        <v>662</v>
      </c>
    </row>
    <row r="76">
      <c r="A76" s="4"/>
      <c r="B76" s="4"/>
      <c r="C76" s="4"/>
      <c r="D76" s="4">
        <v>802142.0</v>
      </c>
      <c r="E76" s="4">
        <v>5422.0</v>
      </c>
      <c r="F76" s="23">
        <v>46093.0</v>
      </c>
      <c r="G76" s="2" t="s">
        <v>405</v>
      </c>
      <c r="H76" s="119">
        <v>11953.0</v>
      </c>
      <c r="I76" s="2" t="s">
        <v>662</v>
      </c>
    </row>
    <row r="77">
      <c r="A77" s="4"/>
      <c r="B77" s="4"/>
      <c r="C77" s="4"/>
      <c r="D77" s="4">
        <v>810647.0</v>
      </c>
      <c r="E77" s="4">
        <v>46037.0</v>
      </c>
      <c r="F77" s="23">
        <v>46093.0</v>
      </c>
      <c r="G77" s="2" t="s">
        <v>405</v>
      </c>
      <c r="H77" s="119">
        <v>11953.0</v>
      </c>
      <c r="I77" s="2" t="s">
        <v>662</v>
      </c>
    </row>
    <row r="78">
      <c r="A78" s="4"/>
      <c r="B78" s="4"/>
      <c r="C78" s="4"/>
      <c r="D78" s="4">
        <v>810647.0</v>
      </c>
      <c r="E78" s="4">
        <v>46204.0</v>
      </c>
      <c r="F78" s="23">
        <v>46093.0</v>
      </c>
      <c r="G78" s="2" t="s">
        <v>405</v>
      </c>
      <c r="H78" s="119">
        <v>11953.0</v>
      </c>
      <c r="I78" s="2" t="s">
        <v>662</v>
      </c>
    </row>
    <row r="79">
      <c r="A79" s="4"/>
      <c r="B79" s="4"/>
      <c r="C79" s="4"/>
      <c r="D79" s="4">
        <v>810647.0</v>
      </c>
      <c r="E79" s="4">
        <v>46314.0</v>
      </c>
      <c r="F79" s="23">
        <v>46093.0</v>
      </c>
      <c r="G79" s="2" t="s">
        <v>405</v>
      </c>
      <c r="H79" s="119">
        <v>11953.0</v>
      </c>
      <c r="I79" s="2" t="s">
        <v>662</v>
      </c>
    </row>
    <row r="80">
      <c r="A80" s="4"/>
      <c r="B80" s="4"/>
      <c r="C80" s="4"/>
      <c r="D80" s="4">
        <v>800812.0</v>
      </c>
      <c r="E80" s="4">
        <v>62099.0</v>
      </c>
      <c r="F80" s="23">
        <v>46094.0</v>
      </c>
      <c r="G80" s="2" t="s">
        <v>405</v>
      </c>
      <c r="H80" s="119">
        <v>11953.0</v>
      </c>
      <c r="I80" s="2" t="s">
        <v>662</v>
      </c>
    </row>
    <row r="81">
      <c r="A81" s="4"/>
      <c r="B81" s="4"/>
      <c r="C81" s="4"/>
      <c r="D81" s="4">
        <v>800812.0</v>
      </c>
      <c r="E81" s="4">
        <v>62325.0</v>
      </c>
      <c r="F81" s="23">
        <v>46094.0</v>
      </c>
      <c r="G81" s="2" t="s">
        <v>405</v>
      </c>
      <c r="H81" s="119">
        <v>11953.0</v>
      </c>
      <c r="I81" s="2" t="s">
        <v>662</v>
      </c>
    </row>
    <row r="82">
      <c r="A82" s="4"/>
      <c r="B82" s="4"/>
      <c r="C82" s="4"/>
      <c r="D82" s="4">
        <v>800812.0</v>
      </c>
      <c r="E82" s="4">
        <v>62587.0</v>
      </c>
      <c r="F82" s="23">
        <v>46094.0</v>
      </c>
      <c r="G82" s="2" t="s">
        <v>405</v>
      </c>
      <c r="H82" s="119">
        <v>11953.0</v>
      </c>
      <c r="I82" s="2" t="s">
        <v>662</v>
      </c>
    </row>
    <row r="83">
      <c r="A83" s="4"/>
      <c r="B83" s="4"/>
      <c r="C83" s="4"/>
      <c r="D83" s="4">
        <v>800812.0</v>
      </c>
      <c r="E83" s="4">
        <v>62648.0</v>
      </c>
      <c r="F83" s="23">
        <v>46094.0</v>
      </c>
      <c r="G83" s="2" t="s">
        <v>405</v>
      </c>
      <c r="H83" s="119">
        <v>11953.0</v>
      </c>
      <c r="I83" s="2" t="s">
        <v>662</v>
      </c>
    </row>
    <row r="84">
      <c r="A84" s="4"/>
      <c r="B84" s="4"/>
      <c r="C84" s="4"/>
      <c r="D84" s="4">
        <v>800812.0</v>
      </c>
      <c r="E84" s="4">
        <v>62798.0</v>
      </c>
      <c r="F84" s="23">
        <v>46094.0</v>
      </c>
      <c r="G84" s="2" t="s">
        <v>405</v>
      </c>
      <c r="H84" s="119">
        <v>11953.0</v>
      </c>
      <c r="I84" s="2" t="s">
        <v>662</v>
      </c>
    </row>
    <row r="85">
      <c r="A85" s="4"/>
      <c r="B85" s="4"/>
      <c r="C85" s="4"/>
      <c r="D85" s="4">
        <v>800812.0</v>
      </c>
      <c r="E85" s="4">
        <v>62944.0</v>
      </c>
      <c r="F85" s="23">
        <v>46094.0</v>
      </c>
      <c r="G85" s="2" t="s">
        <v>405</v>
      </c>
      <c r="H85" s="119">
        <v>11953.0</v>
      </c>
      <c r="I85" s="2" t="s">
        <v>662</v>
      </c>
    </row>
    <row r="86">
      <c r="A86" s="4"/>
      <c r="B86" s="4"/>
      <c r="C86" s="4"/>
      <c r="D86" s="4">
        <v>800812.0</v>
      </c>
      <c r="E86" s="4">
        <v>63118.0</v>
      </c>
      <c r="F86" s="23">
        <v>46094.0</v>
      </c>
      <c r="G86" s="2" t="s">
        <v>405</v>
      </c>
      <c r="H86" s="119">
        <v>11953.0</v>
      </c>
      <c r="I86" s="2" t="s">
        <v>662</v>
      </c>
    </row>
    <row r="87">
      <c r="A87" s="4"/>
      <c r="B87" s="4"/>
      <c r="C87" s="4"/>
      <c r="D87" s="4">
        <v>800812.0</v>
      </c>
      <c r="E87" s="4">
        <v>63318.0</v>
      </c>
      <c r="F87" s="23">
        <v>46094.0</v>
      </c>
      <c r="G87" s="2" t="s">
        <v>405</v>
      </c>
      <c r="H87" s="119">
        <v>11953.0</v>
      </c>
      <c r="I87" s="2" t="s">
        <v>662</v>
      </c>
    </row>
    <row r="88">
      <c r="A88" s="4"/>
      <c r="B88" s="4"/>
      <c r="C88" s="4"/>
      <c r="D88" s="4">
        <v>800812.0</v>
      </c>
      <c r="E88" s="4">
        <v>63390.0</v>
      </c>
      <c r="F88" s="23">
        <v>46094.0</v>
      </c>
      <c r="G88" s="2" t="s">
        <v>405</v>
      </c>
      <c r="H88" s="119">
        <v>11953.0</v>
      </c>
      <c r="I88" s="2" t="s">
        <v>662</v>
      </c>
    </row>
    <row r="89">
      <c r="A89" s="4"/>
      <c r="B89" s="4"/>
      <c r="C89" s="4"/>
      <c r="D89" s="4">
        <v>817165.0</v>
      </c>
      <c r="E89" s="4">
        <v>148764.0</v>
      </c>
      <c r="F89" s="120">
        <v>46101.0</v>
      </c>
      <c r="G89" s="2" t="s">
        <v>422</v>
      </c>
      <c r="H89" s="119">
        <v>2239105.0</v>
      </c>
      <c r="I89" s="2" t="s">
        <v>662</v>
      </c>
    </row>
    <row r="90">
      <c r="A90" s="26">
        <v>46105.72494212963</v>
      </c>
      <c r="B90" s="3" t="s">
        <v>417</v>
      </c>
      <c r="C90" s="3" t="s">
        <v>663</v>
      </c>
      <c r="D90" s="34" t="s">
        <v>664</v>
      </c>
      <c r="E90" s="3">
        <v>75246.0</v>
      </c>
      <c r="F90" s="27">
        <v>46056.0</v>
      </c>
      <c r="G90" s="3" t="s">
        <v>422</v>
      </c>
      <c r="I90" s="3">
        <v>4625725.0</v>
      </c>
    </row>
  </sheetData>
  <drawing r:id="rId1"/>
</worksheet>
</file>